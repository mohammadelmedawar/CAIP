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moham\OneDrive\Desktop\"/>
    </mc:Choice>
  </mc:AlternateContent>
  <xr:revisionPtr revIDLastSave="0" documentId="13_ncr:1_{6F4833A1-E41E-4E36-9C8F-463E00407651}" xr6:coauthVersionLast="47" xr6:coauthVersionMax="47" xr10:uidLastSave="{00000000-0000-0000-0000-000000000000}"/>
  <bookViews>
    <workbookView xWindow="-98" yWindow="-98" windowWidth="19396" windowHeight="12196" xr2:uid="{00000000-000D-0000-FFFF-FFFF00000000}"/>
  </bookViews>
  <sheets>
    <sheet name="Table of Content" sheetId="1" r:id="rId1"/>
    <sheet name="Data Reduction" sheetId="2" r:id="rId2"/>
    <sheet name="Errors" sheetId="3" r:id="rId3"/>
    <sheet name="Outliers ZScore" sheetId="4" r:id="rId4"/>
    <sheet name="Outliers IQR" sheetId="5" r:id="rId5"/>
    <sheet name="ETL" sheetId="6" r:id="rId6"/>
    <sheet name="Corrupted or Unusable Data" sheetId="7" r:id="rId7"/>
    <sheet name="Deduplication" sheetId="8" r:id="rId8"/>
    <sheet name="Mean Mode Imputation" sheetId="9" r:id="rId9"/>
    <sheet name="Substitution" sheetId="10" r:id="rId10"/>
    <sheet name="Hot Deck Imputation" sheetId="11" r:id="rId11"/>
    <sheet name="Cold Deck Imputation" sheetId="12" r:id="rId12"/>
    <sheet name="Regression Imputation" sheetId="13" r:id="rId13"/>
    <sheet name="Descriptive Statistics" sheetId="38" r:id="rId14"/>
    <sheet name="Feature Engineering" sheetId="41" r:id="rId15"/>
    <sheet name="Normalization" sheetId="14" r:id="rId16"/>
    <sheet name="Standardization" sheetId="17" r:id="rId17"/>
    <sheet name="Label Encoding" sheetId="18" r:id="rId18"/>
    <sheet name="One-Hot Encoding" sheetId="19" r:id="rId19"/>
    <sheet name="Frequency Based Encoding" sheetId="22" r:id="rId20"/>
    <sheet name="Continuous VS Discrete" sheetId="23" r:id="rId21"/>
    <sheet name="Discretization Domain-Based" sheetId="24" r:id="rId22"/>
    <sheet name="Discretization Equal-Width" sheetId="25" r:id="rId23"/>
    <sheet name="Discretization Equal-Frequency" sheetId="26" r:id="rId24"/>
    <sheet name="Feature Splitting" sheetId="27" r:id="rId25"/>
    <sheet name="Feature Selection" sheetId="29" r:id="rId26"/>
    <sheet name="Feature Extraction" sheetId="28" r:id="rId27"/>
    <sheet name="Bag of Words" sheetId="30" r:id="rId28"/>
    <sheet name="Tokenization" sheetId="31" r:id="rId29"/>
    <sheet name="Stop Words" sheetId="32" r:id="rId30"/>
    <sheet name="Stemming" sheetId="34" r:id="rId31"/>
    <sheet name="Holdout Method" sheetId="35" r:id="rId32"/>
    <sheet name="k-Fold Cross Validation" sheetId="36" r:id="rId33"/>
    <sheet name="Leave-p-out Cross Validation" sheetId="37" r:id="rId34"/>
    <sheet name="Normal Linear Regression" sheetId="39" r:id="rId35"/>
    <sheet name="Cost Function Linear Regression" sheetId="40" r:id="rId36"/>
    <sheet name="Linear Regression - Project" sheetId="50" r:id="rId37"/>
    <sheet name="OLS vs Ridge vs Lasso" sheetId="51" r:id="rId38"/>
    <sheet name="Linear Regression Problem" sheetId="43" r:id="rId39"/>
    <sheet name="Linear Regression Shortcomings" sheetId="44" r:id="rId40"/>
    <sheet name="k-Nearest Neighbor" sheetId="45" r:id="rId41"/>
    <sheet name="k-Nearest Neighbor - Project" sheetId="52" r:id="rId42"/>
    <sheet name="Grid Search" sheetId="46" r:id="rId43"/>
    <sheet name="Randomized Search" sheetId="47" r:id="rId44"/>
    <sheet name="K-means Clustering" sheetId="48" r:id="rId45"/>
    <sheet name="ARIMA" sheetId="49" r:id="rId46"/>
  </sheets>
  <definedNames>
    <definedName name="a">'Cost Function Linear Regression'!$B$3</definedName>
    <definedName name="b">'Cost Function Linear Regression'!$A$3</definedName>
    <definedName name="ExternalData_1" localSheetId="8" hidden="1">'Mean Mode Imputation'!#REF!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5" l="1"/>
  <c r="G4" i="25"/>
  <c r="G5" i="25"/>
  <c r="G6" i="25"/>
  <c r="G7" i="25"/>
  <c r="G8" i="25"/>
  <c r="H8" i="25"/>
  <c r="G9" i="25"/>
  <c r="H9" i="25"/>
  <c r="H2" i="25"/>
  <c r="H3" i="25" s="1"/>
  <c r="G15" i="37" a="1"/>
  <c r="E3" i="46" a="1"/>
  <c r="E8" i="46" a="1"/>
  <c r="E9" i="46" a="1"/>
  <c r="C17" i="45" a="1"/>
  <c r="B1" i="43" a="1"/>
  <c r="C3" i="43" a="1"/>
  <c r="D3" i="43" s="1"/>
  <c r="E3" i="43" s="1"/>
  <c r="C4" i="43" a="1"/>
  <c r="D4" i="43" s="1"/>
  <c r="E4" i="43" s="1"/>
  <c r="C5" i="43" a="1"/>
  <c r="D5" i="43" s="1"/>
  <c r="E5" i="43" s="1"/>
  <c r="C6" i="43" a="1"/>
  <c r="D6" i="43" s="1"/>
  <c r="E6" i="43" s="1"/>
  <c r="C7" i="43" a="1"/>
  <c r="D7" i="43" s="1"/>
  <c r="E7" i="43" s="1"/>
  <c r="A3" i="40"/>
  <c r="B3" i="40"/>
  <c r="A15" i="37" a="1"/>
  <c r="K7" i="37"/>
  <c r="J7" i="37"/>
  <c r="I7" i="37"/>
  <c r="H7" i="37"/>
  <c r="G7" i="37"/>
  <c r="G2" i="37"/>
  <c r="E5" i="37" s="1"/>
  <c r="E10" i="37"/>
  <c r="E2" i="36"/>
  <c r="E3" i="36"/>
  <c r="E4" i="36"/>
  <c r="E5" i="36"/>
  <c r="E6" i="36"/>
  <c r="E7" i="36"/>
  <c r="E8" i="36"/>
  <c r="E9" i="36"/>
  <c r="E10" i="36"/>
  <c r="E11" i="36"/>
  <c r="B2" i="26"/>
  <c r="B3" i="26"/>
  <c r="B4" i="26"/>
  <c r="B5" i="26"/>
  <c r="B6" i="26"/>
  <c r="B7" i="26"/>
  <c r="B8" i="26"/>
  <c r="B9" i="26"/>
  <c r="B10" i="26"/>
  <c r="E3" i="26"/>
  <c r="E4" i="26" s="1"/>
  <c r="G2" i="25"/>
  <c r="H4" i="25" l="1"/>
  <c r="I8" i="25"/>
  <c r="I9" i="25"/>
  <c r="I2" i="47" a="1"/>
  <c r="E1" i="43"/>
  <c r="E6" i="37"/>
  <c r="E7" i="37"/>
  <c r="E8" i="37"/>
  <c r="E9" i="37"/>
  <c r="E11" i="37"/>
  <c r="E2" i="37"/>
  <c r="E3" i="37"/>
  <c r="E4" i="37"/>
  <c r="I2" i="25"/>
  <c r="H5" i="25" l="1"/>
  <c r="H6" i="25" s="1"/>
  <c r="I3" i="25"/>
  <c r="H7" i="25" l="1"/>
  <c r="I5" i="25"/>
  <c r="I4" i="25"/>
  <c r="I6" i="25" l="1"/>
  <c r="I7" i="25"/>
  <c r="B10" i="25" a="1"/>
  <c r="B2" i="25" a="1"/>
  <c r="B3" i="25" a="1"/>
  <c r="B9" i="25" a="1"/>
  <c r="B4" i="25" a="1"/>
  <c r="B5" i="25" a="1"/>
  <c r="B7" i="25" a="1"/>
  <c r="B8" i="25" a="1"/>
  <c r="B6" i="25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<sst xmlns="http://schemas.openxmlformats.org/spreadsheetml/2006/main" count="497" uniqueCount="307">
  <si>
    <t>House ID</t>
  </si>
  <si>
    <t>Bedrooms</t>
  </si>
  <si>
    <t>Zip Code</t>
  </si>
  <si>
    <t>Latitude</t>
  </si>
  <si>
    <t>Longitude</t>
  </si>
  <si>
    <t>Data Reduction</t>
  </si>
  <si>
    <t>Errors</t>
  </si>
  <si>
    <t>Grades (Over 100)</t>
  </si>
  <si>
    <t>Age</t>
  </si>
  <si>
    <t>METHOD 1 | STEP 1
Calculate Z-Score
Z = (x-μ)/σ</t>
  </si>
  <si>
    <t>METHOD 1 | STEP 2
Convert To Absolute</t>
  </si>
  <si>
    <t>METHOD 1 | STEP 3
IF Condition</t>
  </si>
  <si>
    <t>Z-Score
Threshold</t>
  </si>
  <si>
    <t>Q1</t>
  </si>
  <si>
    <t>Q3</t>
  </si>
  <si>
    <t>IQR
(Q3-Q1)</t>
  </si>
  <si>
    <t>Lower Bound
(Q1 - 1.5*IQR)</t>
  </si>
  <si>
    <t>Identify
Outliers</t>
  </si>
  <si>
    <t>Upper Bound
(Q3 + 1.5*IQR)</t>
  </si>
  <si>
    <t>Outliers Zscore</t>
  </si>
  <si>
    <t>Outliers IQR</t>
  </si>
  <si>
    <t>ETL</t>
  </si>
  <si>
    <t>Dataset 1</t>
  </si>
  <si>
    <t>Dataset 2</t>
  </si>
  <si>
    <t>https://data.cityofnewyork.us/api/views/kxp8-n2sj/rows.csv?accessType=DOWNLOAD</t>
  </si>
  <si>
    <t>https://d37ci6vzurychx.cloudfront.net/misc/taxi_zone_lookup.csv</t>
  </si>
  <si>
    <t>NYC Taxi Zone Lookup Table (CSV)</t>
  </si>
  <si>
    <t>2020 Yellow Taxi Trip Data (Jan–June) – New York City</t>
  </si>
  <si>
    <t>Corrupted or Unusable Data</t>
  </si>
  <si>
    <t>Vehicle Type</t>
  </si>
  <si>
    <t>Mercedes</t>
  </si>
  <si>
    <t>Toyota</t>
  </si>
  <si>
    <t>BMW</t>
  </si>
  <si>
    <t>?????</t>
  </si>
  <si>
    <t>Lexus</t>
  </si>
  <si>
    <t>Miles Driven</t>
  </si>
  <si>
    <t>Still New</t>
  </si>
  <si>
    <t>Number of Cars</t>
  </si>
  <si>
    <t>Date of Import</t>
  </si>
  <si>
    <t>Deduplication</t>
  </si>
  <si>
    <t>ID</t>
  </si>
  <si>
    <t>Name</t>
  </si>
  <si>
    <t>Jad</t>
  </si>
  <si>
    <t>Mohammad</t>
  </si>
  <si>
    <t>Aya</t>
  </si>
  <si>
    <t>Price</t>
  </si>
  <si>
    <t>Mean Mode Imputation</t>
  </si>
  <si>
    <t>Substitution</t>
  </si>
  <si>
    <t>Model</t>
  </si>
  <si>
    <t>iPhone 13</t>
  </si>
  <si>
    <t>iPhone 12</t>
  </si>
  <si>
    <t>iPhone 15</t>
  </si>
  <si>
    <t>iPhone 14</t>
  </si>
  <si>
    <t>Reference Model</t>
  </si>
  <si>
    <t>Reference Price</t>
  </si>
  <si>
    <t>Brand</t>
  </si>
  <si>
    <t>Storage</t>
  </si>
  <si>
    <t>Apple</t>
  </si>
  <si>
    <t>128 GB</t>
  </si>
  <si>
    <t>null</t>
  </si>
  <si>
    <t>Galaxy S21</t>
  </si>
  <si>
    <t>Samsung</t>
  </si>
  <si>
    <t>256 GB</t>
  </si>
  <si>
    <t>Hot Deck Imputation</t>
  </si>
  <si>
    <t>Cold Deck Imputation</t>
  </si>
  <si>
    <t>512 GB</t>
  </si>
  <si>
    <t>Regression Imputation</t>
  </si>
  <si>
    <t>SLOPE</t>
  </si>
  <si>
    <t>INTERCEPT</t>
  </si>
  <si>
    <t>???</t>
  </si>
  <si>
    <t>Sales</t>
  </si>
  <si>
    <t>Normalization</t>
  </si>
  <si>
    <t>Income</t>
  </si>
  <si>
    <t>Age_Normalized</t>
  </si>
  <si>
    <t>Income_Normalized</t>
  </si>
  <si>
    <t>Standardization</t>
  </si>
  <si>
    <t>Age_Standardized</t>
  </si>
  <si>
    <t>Income_Standardized</t>
  </si>
  <si>
    <t>Label Encoding</t>
  </si>
  <si>
    <t>Small</t>
  </si>
  <si>
    <t>Medium</t>
  </si>
  <si>
    <t>Large</t>
  </si>
  <si>
    <t>One-Hot Encoding</t>
  </si>
  <si>
    <t>Nokia</t>
  </si>
  <si>
    <t>BlackBerry</t>
  </si>
  <si>
    <t>Size</t>
  </si>
  <si>
    <t>UK</t>
  </si>
  <si>
    <t>FRANCE</t>
  </si>
  <si>
    <t>SPAIN</t>
  </si>
  <si>
    <t>Country</t>
  </si>
  <si>
    <t>Frequency Based Encoding</t>
  </si>
  <si>
    <t>Continuous VS Discrete</t>
  </si>
  <si>
    <t>Age (Continuous)</t>
  </si>
  <si>
    <t>Age (Discrete)</t>
  </si>
  <si>
    <t>Discretization Domain-Based</t>
  </si>
  <si>
    <t>Discretization Equal-Width</t>
  </si>
  <si>
    <t>MIN</t>
  </si>
  <si>
    <t>MAX</t>
  </si>
  <si>
    <t>RANGE</t>
  </si>
  <si>
    <t>BINS</t>
  </si>
  <si>
    <t>WIDTH</t>
  </si>
  <si>
    <t>Bins</t>
  </si>
  <si>
    <t>Lower Bound</t>
  </si>
  <si>
    <t>Upper Bound</t>
  </si>
  <si>
    <t>Bin</t>
  </si>
  <si>
    <t>Discretization Equal-Frequency</t>
  </si>
  <si>
    <t>Number of Bins</t>
  </si>
  <si>
    <t>Count of Points</t>
  </si>
  <si>
    <t>Points Per Bin</t>
  </si>
  <si>
    <t>Feature Splitting</t>
  </si>
  <si>
    <t>Product Name</t>
  </si>
  <si>
    <t>Date of Purchase</t>
  </si>
  <si>
    <t>Mercedes S500</t>
  </si>
  <si>
    <t>BMW 740i</t>
  </si>
  <si>
    <t>Order ID</t>
  </si>
  <si>
    <t>SA2025</t>
  </si>
  <si>
    <t>LB2024</t>
  </si>
  <si>
    <t>Feature Extraction</t>
  </si>
  <si>
    <t>Year</t>
  </si>
  <si>
    <t>Month</t>
  </si>
  <si>
    <t>Day</t>
  </si>
  <si>
    <t>Person</t>
  </si>
  <si>
    <t>Height</t>
  </si>
  <si>
    <t>Weight</t>
  </si>
  <si>
    <t>A</t>
  </si>
  <si>
    <t>B</t>
  </si>
  <si>
    <t>C</t>
  </si>
  <si>
    <t>Feature Selection</t>
  </si>
  <si>
    <t>D</t>
  </si>
  <si>
    <t>Eye Color</t>
  </si>
  <si>
    <t>Brown</t>
  </si>
  <si>
    <t>Blue</t>
  </si>
  <si>
    <t>Green</t>
  </si>
  <si>
    <t>Bag of Words</t>
  </si>
  <si>
    <t>I really enjoyed this movie more than I enjoyed the first one</t>
  </si>
  <si>
    <t>Text</t>
  </si>
  <si>
    <t>the</t>
  </si>
  <si>
    <t>Tokenization</t>
  </si>
  <si>
    <t>I love driving a Formula 1 car</t>
  </si>
  <si>
    <t>Sentence</t>
  </si>
  <si>
    <t>Stop Words Values</t>
  </si>
  <si>
    <t>Stop Words Sentence</t>
  </si>
  <si>
    <t>in</t>
  </si>
  <si>
    <t>is</t>
  </si>
  <si>
    <t>and</t>
  </si>
  <si>
    <t>The sun shines in the sky and the sky is blue and bright</t>
  </si>
  <si>
    <t>played</t>
  </si>
  <si>
    <t>Stemming</t>
  </si>
  <si>
    <t>quickly</t>
  </si>
  <si>
    <t>eating</t>
  </si>
  <si>
    <t>Holdout Method</t>
  </si>
  <si>
    <t>StudentID</t>
  </si>
  <si>
    <t>StudyHours</t>
  </si>
  <si>
    <t>PreviousGrade</t>
  </si>
  <si>
    <t>Pass/Fail</t>
  </si>
  <si>
    <t>Pass</t>
  </si>
  <si>
    <t>Fail</t>
  </si>
  <si>
    <t>k-Fold Cross Validation</t>
  </si>
  <si>
    <t>Fold Number</t>
  </si>
  <si>
    <t>k (number of folds / groups)</t>
  </si>
  <si>
    <t>Test Fold</t>
  </si>
  <si>
    <t>TRAINING DATA</t>
  </si>
  <si>
    <t>TEST DATA</t>
  </si>
  <si>
    <t>Leave-p-out Cross Validation</t>
  </si>
  <si>
    <t>p</t>
  </si>
  <si>
    <t>Descriptive Statistics</t>
  </si>
  <si>
    <t>Data</t>
  </si>
  <si>
    <t>Mean</t>
  </si>
  <si>
    <t>Median</t>
  </si>
  <si>
    <t>Mode</t>
  </si>
  <si>
    <t>Min</t>
  </si>
  <si>
    <t>Max</t>
  </si>
  <si>
    <t>Range</t>
  </si>
  <si>
    <t>Variance</t>
  </si>
  <si>
    <t>Standard Deviation</t>
  </si>
  <si>
    <t>Normal Linear Regression</t>
  </si>
  <si>
    <t>SALES
Dependent
Y-Axis</t>
  </si>
  <si>
    <t>ADS SPENT
Independent
X-Axis</t>
  </si>
  <si>
    <t>Correlation</t>
  </si>
  <si>
    <t>a (Slope)</t>
  </si>
  <si>
    <t>b (Intercept)</t>
  </si>
  <si>
    <t>y = ax + b     &lt;==&gt;     b + ax = y</t>
  </si>
  <si>
    <t>y (Predicted Value)</t>
  </si>
  <si>
    <t>x (New Value)</t>
  </si>
  <si>
    <t>SALES
Predicted
Y'-Axis</t>
  </si>
  <si>
    <r>
      <t xml:space="preserve">ERROR
</t>
    </r>
    <r>
      <rPr>
        <sz val="9"/>
        <color theme="1"/>
        <rFont val="Calibri"/>
        <family val="2"/>
        <scheme val="minor"/>
      </rPr>
      <t>Predicted - Actual</t>
    </r>
  </si>
  <si>
    <t>SQUARED</t>
  </si>
  <si>
    <t>MSE</t>
  </si>
  <si>
    <t>Mean Squared Error</t>
  </si>
  <si>
    <t>MAE</t>
  </si>
  <si>
    <t>Mean Absolute Error</t>
  </si>
  <si>
    <t>ABSOLUTE</t>
  </si>
  <si>
    <t>Cost Function Linear Regression</t>
  </si>
  <si>
    <r>
      <t>R</t>
    </r>
    <r>
      <rPr>
        <vertAlign val="superscript"/>
        <sz val="11"/>
        <color theme="0"/>
        <rFont val="Calibri"/>
        <family val="2"/>
        <scheme val="minor"/>
      </rPr>
      <t>2</t>
    </r>
    <r>
      <rPr>
        <sz val="11"/>
        <color theme="0"/>
        <rFont val="Calibri"/>
        <family val="2"/>
        <scheme val="minor"/>
      </rPr>
      <t xml:space="preserve"> (Coefficient of Determination)</t>
    </r>
  </si>
  <si>
    <t>Feature Engineering</t>
  </si>
  <si>
    <t>Size (sq ft)</t>
  </si>
  <si>
    <t>Year Built</t>
  </si>
  <si>
    <t>Sales = Intercept + Slope × AdSpent</t>
  </si>
  <si>
    <t>AdSpent</t>
  </si>
  <si>
    <t>Linear Regression Problem</t>
  </si>
  <si>
    <t>BEST MSE</t>
  </si>
  <si>
    <t>CURRENT MSE</t>
  </si>
  <si>
    <t>Linear Regression Shortcomings</t>
  </si>
  <si>
    <t>Cholesterol</t>
  </si>
  <si>
    <t>Heart Disease</t>
  </si>
  <si>
    <t>Threshold</t>
  </si>
  <si>
    <t>k-Nearest Neighbor</t>
  </si>
  <si>
    <t>Sepal Width</t>
  </si>
  <si>
    <t>Sepal Length</t>
  </si>
  <si>
    <t>Species</t>
  </si>
  <si>
    <t>Setosa</t>
  </si>
  <si>
    <t>Virginica</t>
  </si>
  <si>
    <t>Versicolor</t>
  </si>
  <si>
    <t>Rank</t>
  </si>
  <si>
    <t>Distance</t>
  </si>
  <si>
    <t>Label</t>
  </si>
  <si>
    <t>k</t>
  </si>
  <si>
    <t>Frequency</t>
  </si>
  <si>
    <t>Slope (a)</t>
  </si>
  <si>
    <t>Intercept (b)</t>
  </si>
  <si>
    <t>Best MSE</t>
  </si>
  <si>
    <t>Best Slope</t>
  </si>
  <si>
    <t>Best Intercept</t>
  </si>
  <si>
    <t>Grid Search</t>
  </si>
  <si>
    <t>Randomized Search</t>
  </si>
  <si>
    <t>Intercept Min</t>
  </si>
  <si>
    <t>Intercept Max</t>
  </si>
  <si>
    <t>Slope (a) Minimum</t>
  </si>
  <si>
    <t>Slope (a) Maximum</t>
  </si>
  <si>
    <t>K-means Clustering</t>
  </si>
  <si>
    <t>DATA</t>
  </si>
  <si>
    <t>STEP1: K = 2</t>
  </si>
  <si>
    <t>Datapoint</t>
  </si>
  <si>
    <t>Sepal
Length</t>
  </si>
  <si>
    <t>Sepal
Width</t>
  </si>
  <si>
    <t>ITERATION
1</t>
  </si>
  <si>
    <t>ITERATION
2</t>
  </si>
  <si>
    <t>ITERATION
3</t>
  </si>
  <si>
    <t>ITERATION
4</t>
  </si>
  <si>
    <t>ARIMA</t>
  </si>
  <si>
    <t>Date</t>
  </si>
  <si>
    <t>Passengers</t>
  </si>
  <si>
    <t>Δpassengers</t>
  </si>
  <si>
    <t>Lag ΔPassengers</t>
  </si>
  <si>
    <t>Predicted Δ</t>
  </si>
  <si>
    <t>Forecasted Passengers</t>
  </si>
  <si>
    <t>φ (AR Coefficient)</t>
  </si>
  <si>
    <t>Next Day Forecasted Passengers</t>
  </si>
  <si>
    <t>Next ΔPassengers (Predicted)</t>
  </si>
  <si>
    <t>Ad Spent</t>
  </si>
  <si>
    <t>Stop Words</t>
  </si>
  <si>
    <t>Temperature</t>
  </si>
  <si>
    <t>Humidity</t>
  </si>
  <si>
    <t>WindSpeed</t>
  </si>
  <si>
    <t>Weather</t>
  </si>
  <si>
    <t>Rentals</t>
  </si>
  <si>
    <t>Count</t>
  </si>
  <si>
    <t>Percentage</t>
  </si>
  <si>
    <t>Train</t>
  </si>
  <si>
    <t>Test</t>
  </si>
  <si>
    <t>Train R²</t>
  </si>
  <si>
    <t>Test MSE</t>
  </si>
  <si>
    <t>Test RMSE</t>
  </si>
  <si>
    <t>Test MAE</t>
  </si>
  <si>
    <t>Test R²</t>
  </si>
  <si>
    <t>Intercept</t>
  </si>
  <si>
    <t>Standard Error</t>
  </si>
  <si>
    <t>Linear Regression - Project</t>
  </si>
  <si>
    <t>(|Sxy| − λ/2) ÷ Sxx</t>
  </si>
  <si>
    <t>Lasso</t>
  </si>
  <si>
    <t>Sxy ÷ (Sxx + λ)</t>
  </si>
  <si>
    <t>Ridge</t>
  </si>
  <si>
    <t>Sxy ÷ Sxx</t>
  </si>
  <si>
    <t>Ordinary Least Squares</t>
  </si>
  <si>
    <t>Normal (OLS)</t>
  </si>
  <si>
    <t>λ (lambda)</t>
  </si>
  <si>
    <r>
      <t>SUM</t>
    </r>
    <r>
      <rPr>
        <sz val="11"/>
        <color rgb="FFFF0000"/>
        <rFont val="Calibri"/>
        <family val="2"/>
      </rPr>
      <t>(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9"/>
        <rFont val="Calibri"/>
        <family val="2"/>
      </rPr>
      <t>(</t>
    </r>
    <r>
      <rPr>
        <sz val="11"/>
        <color theme="1"/>
        <rFont val="Calibri"/>
        <family val="2"/>
        <scheme val="minor"/>
      </rPr>
      <t xml:space="preserve"> x - avg(x) </t>
    </r>
    <r>
      <rPr>
        <sz val="11"/>
        <color theme="9"/>
        <rFont val="Calibri"/>
        <family val="2"/>
      </rPr>
      <t>)</t>
    </r>
    <r>
      <rPr>
        <sz val="11"/>
        <color theme="1"/>
        <rFont val="Calibri"/>
        <family val="2"/>
        <scheme val="minor"/>
      </rPr>
      <t xml:space="preserve">² </t>
    </r>
    <r>
      <rPr>
        <sz val="11"/>
        <color rgb="FFFF0000"/>
        <rFont val="Calibri"/>
        <family val="2"/>
      </rPr>
      <t>)</t>
    </r>
  </si>
  <si>
    <t>Sum of squares of x</t>
  </si>
  <si>
    <t>Sxx</t>
  </si>
  <si>
    <r>
      <t>SUM</t>
    </r>
    <r>
      <rPr>
        <sz val="11"/>
        <color rgb="FFFF0000"/>
        <rFont val="Calibri"/>
        <family val="2"/>
      </rPr>
      <t>(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9"/>
        <rFont val="Calibri"/>
        <family val="2"/>
      </rPr>
      <t>(</t>
    </r>
    <r>
      <rPr>
        <sz val="11"/>
        <color theme="1"/>
        <rFont val="Calibri"/>
        <family val="2"/>
        <scheme val="minor"/>
      </rPr>
      <t xml:space="preserve"> x - avg(x) </t>
    </r>
    <r>
      <rPr>
        <sz val="11"/>
        <color theme="9"/>
        <rFont val="Calibri"/>
        <family val="2"/>
      </rPr>
      <t>)</t>
    </r>
    <r>
      <rPr>
        <sz val="11"/>
        <color theme="1"/>
        <rFont val="Calibri"/>
        <family val="2"/>
        <scheme val="minor"/>
      </rPr>
      <t xml:space="preserve"> * </t>
    </r>
    <r>
      <rPr>
        <sz val="11"/>
        <color theme="4"/>
        <rFont val="Calibri"/>
        <family val="2"/>
      </rPr>
      <t>(</t>
    </r>
    <r>
      <rPr>
        <sz val="11"/>
        <color theme="1"/>
        <rFont val="Calibri"/>
        <family val="2"/>
        <scheme val="minor"/>
      </rPr>
      <t xml:space="preserve"> y - avg(y) </t>
    </r>
    <r>
      <rPr>
        <sz val="11"/>
        <color theme="4"/>
        <rFont val="Calibri"/>
        <family val="2"/>
      </rPr>
      <t>)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</rPr>
      <t>)</t>
    </r>
  </si>
  <si>
    <t>How much X and Y move together</t>
  </si>
  <si>
    <t>Sxy</t>
  </si>
  <si>
    <t>Value</t>
  </si>
  <si>
    <t>Formula</t>
  </si>
  <si>
    <t>Description</t>
  </si>
  <si>
    <t>Variable</t>
  </si>
  <si>
    <t>Score</t>
  </si>
  <si>
    <t>Hours</t>
  </si>
  <si>
    <t>OLS vs Ridge vs Lasso</t>
  </si>
  <si>
    <t>PREDICTION</t>
  </si>
  <si>
    <t>NO</t>
  </si>
  <si>
    <t>YES</t>
  </si>
  <si>
    <t>VOTES</t>
  </si>
  <si>
    <t>Approved</t>
  </si>
  <si>
    <t>Customer</t>
  </si>
  <si>
    <t>No</t>
  </si>
  <si>
    <t>Mila</t>
  </si>
  <si>
    <t>Yes</t>
  </si>
  <si>
    <t>Lynn</t>
  </si>
  <si>
    <t>Zayn</t>
  </si>
  <si>
    <t>Rayane</t>
  </si>
  <si>
    <t>Miriam</t>
  </si>
  <si>
    <t>Amina</t>
  </si>
  <si>
    <t>Kamal</t>
  </si>
  <si>
    <t>Loan</t>
  </si>
  <si>
    <t>k-Nearest Neighbor - Project</t>
  </si>
  <si>
    <t>c (Constant)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</si>
</sst>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00000"/>
    <numFmt numFmtId="165" formatCode="_-* #,##0_-;\-* #,##0_-;_-* &quot;-&quot;??_-;_-@_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vertAlign val="superscript"/>
      <sz val="11"/>
      <color theme="0"/>
      <name val="Calibri"/>
      <family val="2"/>
      <scheme val="minor"/>
    </font>
    <font>
      <b/>
      <sz val="10"/>
      <color rgb="FF741B47"/>
      <name val="Arial"/>
      <family val="2"/>
    </font>
    <font>
      <sz val="10"/>
      <color theme="1"/>
      <name val="Arial"/>
      <family val="2"/>
    </font>
    <font>
      <b/>
      <sz val="10"/>
      <color rgb="FFBF9000"/>
      <name val="Arial"/>
      <family val="2"/>
    </font>
    <font>
      <b/>
      <sz val="10"/>
      <color rgb="FF351C75"/>
      <name val="Arial"/>
      <family val="2"/>
    </font>
    <font>
      <b/>
      <sz val="10"/>
      <color rgb="FF38761D"/>
      <name val="Arial"/>
      <family val="2"/>
    </font>
    <font>
      <b/>
      <sz val="11"/>
      <color theme="0"/>
      <name val="Arial"/>
      <family val="2"/>
    </font>
    <font>
      <sz val="11"/>
      <name val="Arial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sz val="11"/>
      <color theme="9"/>
      <name val="Calibri"/>
      <family val="2"/>
    </font>
    <font>
      <sz val="11"/>
      <color theme="4"/>
      <name val="Calibri"/>
      <family val="2"/>
    </font>
    <font>
      <b/>
      <sz val="11"/>
      <color theme="1"/>
      <name val="Calibri"/>
      <family val="2"/>
    </font>
  </fonts>
  <fills count="2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43" fontId="1" fillId="0" borderId="0" applyFont="0" applyFill="0" applyBorder="0" applyAlignment="0" applyProtection="0"/>
  </cellStyleXfs>
  <cellXfs count="159">
    <xf numFmtId="0" fontId="0" fillId="0" borderId="0" xfId="0"/>
    <xf numFmtId="164" fontId="0" fillId="0" borderId="0" xfId="0" applyNumberFormat="1"/>
    <xf numFmtId="0" fontId="3" fillId="0" borderId="0" xfId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5" fillId="2" borderId="1" xfId="0" applyFont="1" applyFill="1" applyBorder="1" applyAlignment="1">
      <alignment horizontal="center" wrapText="1"/>
    </xf>
    <xf numFmtId="0" fontId="0" fillId="3" borderId="2" xfId="0" applyFill="1" applyBorder="1"/>
    <xf numFmtId="0" fontId="0" fillId="0" borderId="0" xfId="0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2" borderId="0" xfId="0" applyFont="1" applyFill="1"/>
    <xf numFmtId="165" fontId="0" fillId="0" borderId="0" xfId="2" applyNumberFormat="1" applyFont="1"/>
    <xf numFmtId="0" fontId="0" fillId="3" borderId="3" xfId="0" applyFill="1" applyBorder="1"/>
    <xf numFmtId="0" fontId="0" fillId="0" borderId="5" xfId="0" applyBorder="1"/>
    <xf numFmtId="0" fontId="0" fillId="3" borderId="9" xfId="0" applyFill="1" applyBorder="1"/>
    <xf numFmtId="0" fontId="0" fillId="0" borderId="10" xfId="0" applyBorder="1"/>
    <xf numFmtId="0" fontId="0" fillId="3" borderId="6" xfId="0" applyFill="1" applyBorder="1"/>
    <xf numFmtId="0" fontId="4" fillId="2" borderId="3" xfId="0" applyFont="1" applyFill="1" applyBorder="1"/>
    <xf numFmtId="0" fontId="4" fillId="2" borderId="6" xfId="0" applyFont="1" applyFill="1" applyBorder="1"/>
    <xf numFmtId="0" fontId="4" fillId="2" borderId="9" xfId="0" applyFont="1" applyFill="1" applyBorder="1"/>
    <xf numFmtId="14" fontId="0" fillId="0" borderId="0" xfId="0" applyNumberFormat="1"/>
    <xf numFmtId="0" fontId="0" fillId="0" borderId="0" xfId="0" applyAlignment="1">
      <alignment horizontal="left" vertical="center" wrapText="1"/>
    </xf>
    <xf numFmtId="0" fontId="4" fillId="4" borderId="0" xfId="0" applyFont="1" applyFill="1"/>
    <xf numFmtId="0" fontId="7" fillId="0" borderId="0" xfId="0" applyFont="1"/>
    <xf numFmtId="0" fontId="7" fillId="3" borderId="3" xfId="0" applyFont="1" applyFill="1" applyBorder="1"/>
    <xf numFmtId="0" fontId="7" fillId="3" borderId="9" xfId="0" applyFont="1" applyFill="1" applyBorder="1"/>
    <xf numFmtId="0" fontId="7" fillId="3" borderId="6" xfId="0" applyFont="1" applyFill="1" applyBorder="1"/>
    <xf numFmtId="0" fontId="0" fillId="0" borderId="0" xfId="0" quotePrefix="1"/>
    <xf numFmtId="0" fontId="0" fillId="0" borderId="17" xfId="0" applyBorder="1"/>
    <xf numFmtId="0" fontId="0" fillId="0" borderId="17" xfId="0" applyBorder="1" applyAlignment="1">
      <alignment horizontal="center" vertical="top" wrapText="1"/>
    </xf>
    <xf numFmtId="0" fontId="0" fillId="0" borderId="14" xfId="0" applyBorder="1"/>
    <xf numFmtId="0" fontId="0" fillId="0" borderId="19" xfId="0" applyBorder="1"/>
    <xf numFmtId="0" fontId="0" fillId="0" borderId="20" xfId="0" applyBorder="1"/>
    <xf numFmtId="0" fontId="4" fillId="2" borderId="1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0" fillId="0" borderId="19" xfId="0" quotePrefix="1" applyBorder="1" applyAlignment="1">
      <alignment horizontal="center" vertical="top" wrapText="1"/>
    </xf>
    <xf numFmtId="0" fontId="8" fillId="5" borderId="18" xfId="0" applyFont="1" applyFill="1" applyBorder="1" applyAlignment="1">
      <alignment horizontal="center"/>
    </xf>
    <xf numFmtId="0" fontId="4" fillId="2" borderId="22" xfId="0" applyFont="1" applyFill="1" applyBorder="1"/>
    <xf numFmtId="0" fontId="0" fillId="0" borderId="23" xfId="0" applyBorder="1"/>
    <xf numFmtId="0" fontId="8" fillId="5" borderId="24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8" fillId="5" borderId="9" xfId="0" applyFont="1" applyFill="1" applyBorder="1" applyAlignment="1">
      <alignment horizontal="center"/>
    </xf>
    <xf numFmtId="0" fontId="8" fillId="5" borderId="10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8" xfId="0" applyBorder="1" applyAlignment="1">
      <alignment horizontal="center"/>
    </xf>
    <xf numFmtId="3" fontId="0" fillId="0" borderId="0" xfId="0" applyNumberFormat="1"/>
    <xf numFmtId="0" fontId="4" fillId="5" borderId="23" xfId="0" applyFont="1" applyFill="1" applyBorder="1"/>
    <xf numFmtId="0" fontId="0" fillId="7" borderId="0" xfId="0" applyFill="1"/>
    <xf numFmtId="0" fontId="0" fillId="3" borderId="0" xfId="0" applyFill="1"/>
    <xf numFmtId="0" fontId="4" fillId="2" borderId="3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8" fillId="5" borderId="0" xfId="0" applyFont="1" applyFill="1"/>
    <xf numFmtId="0" fontId="0" fillId="0" borderId="9" xfId="0" applyBorder="1"/>
    <xf numFmtId="0" fontId="0" fillId="10" borderId="28" xfId="0" applyFill="1" applyBorder="1"/>
    <xf numFmtId="0" fontId="0" fillId="10" borderId="29" xfId="0" applyFill="1" applyBorder="1"/>
    <xf numFmtId="0" fontId="7" fillId="11" borderId="28" xfId="0" applyFont="1" applyFill="1" applyBorder="1"/>
    <xf numFmtId="0" fontId="0" fillId="12" borderId="28" xfId="0" applyFill="1" applyBorder="1"/>
    <xf numFmtId="0" fontId="0" fillId="8" borderId="28" xfId="0" applyFill="1" applyBorder="1"/>
    <xf numFmtId="0" fontId="0" fillId="13" borderId="3" xfId="0" applyFill="1" applyBorder="1"/>
    <xf numFmtId="0" fontId="0" fillId="14" borderId="5" xfId="0" applyFill="1" applyBorder="1"/>
    <xf numFmtId="0" fontId="0" fillId="15" borderId="9" xfId="0" applyFill="1" applyBorder="1"/>
    <xf numFmtId="0" fontId="0" fillId="16" borderId="10" xfId="0" applyFill="1" applyBorder="1"/>
    <xf numFmtId="0" fontId="0" fillId="17" borderId="6" xfId="0" applyFill="1" applyBorder="1"/>
    <xf numFmtId="0" fontId="0" fillId="18" borderId="8" xfId="0" applyFill="1" applyBorder="1"/>
    <xf numFmtId="0" fontId="0" fillId="0" borderId="28" xfId="0" applyBorder="1"/>
    <xf numFmtId="0" fontId="4" fillId="2" borderId="5" xfId="0" applyFont="1" applyFill="1" applyBorder="1" applyAlignment="1">
      <alignment horizontal="center" vertical="center"/>
    </xf>
    <xf numFmtId="0" fontId="4" fillId="11" borderId="3" xfId="0" applyFont="1" applyFill="1" applyBorder="1"/>
    <xf numFmtId="0" fontId="4" fillId="11" borderId="5" xfId="0" applyFont="1" applyFill="1" applyBorder="1"/>
    <xf numFmtId="0" fontId="4" fillId="9" borderId="3" xfId="0" applyFont="1" applyFill="1" applyBorder="1"/>
    <xf numFmtId="0" fontId="4" fillId="9" borderId="5" xfId="0" applyFont="1" applyFill="1" applyBorder="1"/>
    <xf numFmtId="0" fontId="7" fillId="13" borderId="3" xfId="0" applyFont="1" applyFill="1" applyBorder="1"/>
    <xf numFmtId="0" fontId="7" fillId="15" borderId="9" xfId="0" applyFont="1" applyFill="1" applyBorder="1"/>
    <xf numFmtId="0" fontId="7" fillId="17" borderId="6" xfId="0" applyFont="1" applyFill="1" applyBorder="1"/>
    <xf numFmtId="0" fontId="13" fillId="20" borderId="0" xfId="0" applyFont="1" applyFill="1" applyAlignment="1">
      <alignment vertical="center" wrapText="1"/>
    </xf>
    <xf numFmtId="0" fontId="13" fillId="0" borderId="0" xfId="0" applyFont="1" applyAlignment="1">
      <alignment vertical="center" wrapText="1"/>
    </xf>
    <xf numFmtId="0" fontId="15" fillId="22" borderId="0" xfId="0" applyFont="1" applyFill="1" applyAlignment="1">
      <alignment horizontal="center" vertical="center" wrapText="1"/>
    </xf>
    <xf numFmtId="0" fontId="16" fillId="23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24" borderId="0" xfId="0" applyFont="1" applyFill="1" applyAlignment="1">
      <alignment vertical="center" wrapText="1"/>
    </xf>
    <xf numFmtId="14" fontId="0" fillId="0" borderId="9" xfId="0" applyNumberFormat="1" applyBorder="1"/>
    <xf numFmtId="0" fontId="4" fillId="2" borderId="4" xfId="0" applyFont="1" applyFill="1" applyBorder="1"/>
    <xf numFmtId="0" fontId="4" fillId="2" borderId="5" xfId="0" applyFont="1" applyFill="1" applyBorder="1"/>
    <xf numFmtId="0" fontId="0" fillId="18" borderId="2" xfId="0" applyFill="1" applyBorder="1"/>
    <xf numFmtId="0" fontId="0" fillId="14" borderId="2" xfId="0" applyFill="1" applyBorder="1"/>
    <xf numFmtId="0" fontId="7" fillId="13" borderId="1" xfId="0" applyFont="1" applyFill="1" applyBorder="1"/>
    <xf numFmtId="0" fontId="7" fillId="11" borderId="1" xfId="0" applyFont="1" applyFill="1" applyBorder="1"/>
    <xf numFmtId="0" fontId="7" fillId="17" borderId="1" xfId="0" applyFont="1" applyFill="1" applyBorder="1"/>
    <xf numFmtId="0" fontId="0" fillId="5" borderId="28" xfId="0" applyFill="1" applyBorder="1"/>
    <xf numFmtId="0" fontId="0" fillId="5" borderId="10" xfId="0" applyFill="1" applyBorder="1"/>
    <xf numFmtId="0" fontId="17" fillId="0" borderId="0" xfId="0" applyFont="1"/>
    <xf numFmtId="0" fontId="18" fillId="0" borderId="0" xfId="0" applyFont="1"/>
    <xf numFmtId="43" fontId="0" fillId="0" borderId="0" xfId="2" applyFont="1"/>
    <xf numFmtId="9" fontId="0" fillId="0" borderId="0" xfId="3" applyFont="1"/>
    <xf numFmtId="0" fontId="0" fillId="25" borderId="0" xfId="0" applyFill="1"/>
    <xf numFmtId="9" fontId="0" fillId="25" borderId="0" xfId="3" applyFont="1" applyFill="1"/>
    <xf numFmtId="2" fontId="0" fillId="0" borderId="0" xfId="3" applyNumberFormat="1" applyFont="1"/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vertical="center" wrapText="1"/>
    </xf>
    <xf numFmtId="0" fontId="2" fillId="0" borderId="0" xfId="4"/>
    <xf numFmtId="0" fontId="19" fillId="26" borderId="30" xfId="4" applyFont="1" applyFill="1" applyBorder="1"/>
    <xf numFmtId="0" fontId="1" fillId="0" borderId="0" xfId="5"/>
    <xf numFmtId="0" fontId="1" fillId="0" borderId="8" xfId="5" applyBorder="1"/>
    <xf numFmtId="0" fontId="1" fillId="0" borderId="7" xfId="5" applyBorder="1"/>
    <xf numFmtId="0" fontId="1" fillId="0" borderId="6" xfId="5" applyBorder="1"/>
    <xf numFmtId="0" fontId="1" fillId="0" borderId="10" xfId="5" applyBorder="1"/>
    <xf numFmtId="0" fontId="1" fillId="0" borderId="28" xfId="5" applyBorder="1"/>
    <xf numFmtId="0" fontId="1" fillId="0" borderId="9" xfId="5" applyBorder="1"/>
    <xf numFmtId="0" fontId="1" fillId="14" borderId="10" xfId="5" applyFill="1" applyBorder="1" applyAlignment="1">
      <alignment horizontal="center"/>
    </xf>
    <xf numFmtId="0" fontId="1" fillId="14" borderId="9" xfId="5" applyFill="1" applyBorder="1" applyAlignment="1">
      <alignment horizontal="center"/>
    </xf>
    <xf numFmtId="0" fontId="23" fillId="11" borderId="5" xfId="5" applyFont="1" applyFill="1" applyBorder="1"/>
    <xf numFmtId="0" fontId="23" fillId="11" borderId="4" xfId="5" applyFont="1" applyFill="1" applyBorder="1"/>
    <xf numFmtId="0" fontId="23" fillId="11" borderId="3" xfId="5" applyFont="1" applyFill="1" applyBorder="1"/>
    <xf numFmtId="0" fontId="1" fillId="10" borderId="23" xfId="5" applyFill="1" applyBorder="1"/>
    <xf numFmtId="0" fontId="1" fillId="10" borderId="31" xfId="5" applyFill="1" applyBorder="1"/>
    <xf numFmtId="0" fontId="1" fillId="10" borderId="22" xfId="5" applyFill="1" applyBorder="1"/>
    <xf numFmtId="165" fontId="0" fillId="0" borderId="0" xfId="6" applyNumberFormat="1" applyFont="1"/>
    <xf numFmtId="0" fontId="4" fillId="2" borderId="0" xfId="0" applyFont="1" applyFill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9" fillId="2" borderId="0" xfId="0" applyFont="1" applyFill="1" applyAlignment="1">
      <alignment horizontal="center" vertical="center"/>
    </xf>
    <xf numFmtId="0" fontId="8" fillId="6" borderId="25" xfId="0" applyFont="1" applyFill="1" applyBorder="1" applyAlignment="1">
      <alignment horizontal="center"/>
    </xf>
    <xf numFmtId="0" fontId="8" fillId="6" borderId="5" xfId="0" applyFont="1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8" xfId="0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23" fillId="13" borderId="3" xfId="5" applyFont="1" applyFill="1" applyBorder="1" applyAlignment="1">
      <alignment horizontal="center"/>
    </xf>
    <xf numFmtId="0" fontId="23" fillId="13" borderId="5" xfId="5" applyFont="1" applyFill="1" applyBorder="1" applyAlignment="1">
      <alignment horizontal="center"/>
    </xf>
    <xf numFmtId="0" fontId="19" fillId="28" borderId="3" xfId="5" applyFont="1" applyFill="1" applyBorder="1" applyAlignment="1">
      <alignment horizontal="center"/>
    </xf>
    <xf numFmtId="0" fontId="19" fillId="28" borderId="5" xfId="5" applyFont="1" applyFill="1" applyBorder="1" applyAlignment="1">
      <alignment horizontal="center"/>
    </xf>
    <xf numFmtId="0" fontId="23" fillId="27" borderId="6" xfId="5" applyFont="1" applyFill="1" applyBorder="1" applyAlignment="1">
      <alignment horizontal="center"/>
    </xf>
    <xf numFmtId="0" fontId="23" fillId="27" borderId="8" xfId="5" applyFont="1" applyFill="1" applyBorder="1" applyAlignment="1">
      <alignment horizontal="center"/>
    </xf>
    <xf numFmtId="0" fontId="7" fillId="9" borderId="28" xfId="0" applyFont="1" applyFill="1" applyBorder="1" applyAlignment="1">
      <alignment horizontal="center"/>
    </xf>
    <xf numFmtId="0" fontId="12" fillId="19" borderId="0" xfId="0" applyFont="1" applyFill="1" applyAlignment="1">
      <alignment horizontal="center" vertical="center" wrapText="1"/>
    </xf>
    <xf numFmtId="0" fontId="14" fillId="21" borderId="0" xfId="0" applyFont="1" applyFill="1" applyAlignment="1">
      <alignment horizontal="center" vertical="center" wrapText="1"/>
    </xf>
    <xf numFmtId="0" fontId="7" fillId="9" borderId="1" xfId="0" applyFont="1" applyFill="1" applyBorder="1"/>
    <xf numFmtId="0" fontId="0" fillId="10" borderId="2" xfId="0" applyFill="1" applyBorder="1"/>
    <xf numFmtId="0" fontId="0" fillId="12" borderId="2" xfId="0" applyFill="1" applyBorder="1"/>
    <xf numFmtId="0" fontId="0" fillId="12" borderId="7" xfId="0" applyFill="1" applyBorder="1"/>
    <xf numFmtId="0" fontId="0" fillId="12" borderId="10" xfId="0" applyFill="1" applyBorder="1"/>
    <xf numFmtId="0" fontId="0" fillId="12" borderId="8" xfId="0" applyFill="1" applyBorder="1"/>
  </cellXfs>
  <cellStyles count="7">
    <cellStyle name="Comma" xfId="2" builtinId="3"/>
    <cellStyle name="Comma 2" xfId="6" xr:uid="{9F1CED40-831E-41A7-B297-BC960E260640}"/>
    <cellStyle name="Hyperlink" xfId="1" builtinId="8"/>
    <cellStyle name="Normal" xfId="0" builtinId="0"/>
    <cellStyle name="Normal 2" xfId="4" xr:uid="{7CB6CAEA-4F8B-4749-B561-BAF087F12076}"/>
    <cellStyle name="Normal 3" xfId="5" xr:uid="{65F33615-B345-4E5F-B4FD-ACECCBE985CF}"/>
    <cellStyle name="Percent" xfId="3" builtinId="5"/>
  </cellStyles>
  <dxfs count="36">
    <dxf>
      <numFmt numFmtId="165" formatCode="_-* #,##0_-;\-* #,##0_-;_-* &quot;-&quot;??_-;_-@_-"/>
    </dxf>
    <dxf>
      <numFmt numFmtId="165" formatCode="_-* #,##0_-;\-* #,##0_-;_-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font>
        <strike val="0"/>
        <outline val="0"/>
        <shadow val="0"/>
        <u val="none"/>
        <vertAlign val="baseline"/>
        <sz val="11"/>
        <color theme="0"/>
        <name val="Arial"/>
        <family val="2"/>
        <scheme val="none"/>
      </font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vertical/>
      </border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vertical/>
      </border>
    </dxf>
    <dxf>
      <numFmt numFmtId="0" formatCode="General"/>
    </dxf>
    <dxf>
      <numFmt numFmtId="0" formatCode="General"/>
    </dxf>
    <dxf>
      <alignment horizontal="center" vertical="top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165" formatCode="_-* #,##0_-;\-* #,##0_-;_-* &quot;-&quot;??_-;_-@_-"/>
    </dxf>
    <dxf>
      <numFmt numFmtId="0" formatCode="General"/>
    </dxf>
    <dxf>
      <numFmt numFmtId="165" formatCode="_-* #,##0_-;\-* #,##0_-;_-* &quot;-&quot;??_-;_-@_-"/>
    </dxf>
    <dxf>
      <numFmt numFmtId="3" formatCode="#,##0"/>
    </dxf>
    <dxf>
      <numFmt numFmtId="3" formatCode="#,##0"/>
    </dxf>
    <dxf>
      <numFmt numFmtId="165" formatCode="_-* #,##0_-;\-* #,##0_-;_-* &quot;-&quot;??_-;_-@_-"/>
    </dxf>
    <dxf>
      <numFmt numFmtId="0" formatCode="General"/>
    </dxf>
    <dxf>
      <alignment horizontal="center" vertical="center" textRotation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top" textRotation="0" wrapText="1" indent="0" justifyLastLine="0" shrinkToFit="0" readingOrder="0"/>
    </dxf>
  </dxfs>
  <tableStyles count="0" defaultTableStyle="TableStyleMedium2" defaultPivotStyle="PivotStyleLight16"/>
  <colors>
    <mruColors>
      <color rgb="FF5B9B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sheetMetadata" Target="metadata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417448-5F97-4A24-9F62-F991D606F7ED}" name="DataReduction_Table" displayName="DataReduction_Table" ref="A1:E3" totalsRowShown="0">
  <autoFilter ref="A1:E3" xr:uid="{A6417448-5F97-4A24-9F62-F991D606F7ED}"/>
  <tableColumns count="5">
    <tableColumn id="1" xr3:uid="{494394DA-7F5B-44FA-AB0D-3F6565EB02A1}" name="House ID"/>
    <tableColumn id="2" xr3:uid="{C53280AB-8C2C-4C8C-B7D6-4EC838B429E1}" name="Bedrooms"/>
    <tableColumn id="3" xr3:uid="{834EC908-A834-47E9-803B-F1A246056B5E}" name="Zip Code"/>
    <tableColumn id="4" xr3:uid="{3D6BB508-F0EE-49C1-9C92-E27006345730}" name="Latitude"/>
    <tableColumn id="5" xr3:uid="{B7231606-7005-47C4-A2C6-86D290DF00BB}" name="Longitu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69D8E7-7305-4EC4-B91F-DF2738EF4FB2}" name="Errors_Table" displayName="Errors_Table" ref="A1:A5" totalsRowShown="0">
  <autoFilter ref="A1:A5" xr:uid="{C369D8E7-7305-4EC4-B91F-DF2738EF4FB2}"/>
  <tableColumns count="1">
    <tableColumn id="1" xr3:uid="{05D838FA-6A09-4547-AADB-B1D0FC92BB04}" name="Grades (Over 100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8B3BCF9-15FF-4718-920E-30E7BF4A637B}" name="OutliersZScore_Table" displayName="OutliersZScore_Table" ref="A1:D12" totalsRowShown="0" headerRowDxfId="35">
  <autoFilter ref="A1:D12" xr:uid="{28B3BCF9-15FF-4718-920E-30E7BF4A637B}"/>
  <tableColumns count="4">
    <tableColumn id="1" xr3:uid="{DFF8E58F-4BD5-40A1-B086-E928ABBA16B7}" name="Age"/>
    <tableColumn id="2" xr3:uid="{F59DBF35-EFFA-4B0F-BEDF-DD03C6CD93B3}" name="METHOD 1 | STEP 1_x000a_Calculate Z-Score_x000a_Z = (x-μ)/σ" dataDxfId="34"/>
    <tableColumn id="3" xr3:uid="{CEDA3B08-3F76-4D48-8246-EE740CE8F229}" name="METHOD 1 | STEP 2_x000a_Convert To Absolute" dataDxfId="33"/>
    <tableColumn id="4" xr3:uid="{00D84702-7181-42EC-9BDF-EB57AEF16908}" name="METHOD 1 | STEP 3_x000a_IF Condition" dataDxfId="3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6D3AA56-4875-4497-B38E-86EC243B5A80}" name="OutliersIQR_Table" displayName="OutliersIQR_Table" ref="A1:B12" totalsRowShown="0" headerRowDxfId="31">
  <autoFilter ref="A1:B12" xr:uid="{D6D3AA56-4875-4497-B38E-86EC243B5A80}"/>
  <tableColumns count="2">
    <tableColumn id="1" xr3:uid="{6738CE49-D771-4052-82C6-1844FC15019D}" name="Age"/>
    <tableColumn id="2" xr3:uid="{FCCCF004-B531-42A5-BDE9-C7580BACFBD1}" name="Identify_x000a_Outliers" dataDxfId="3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B2A29B8-A744-42BE-A820-624E72909065}" name="CorruptedOrUnusableData_Table" displayName="CorruptedOrUnusableData_Table" ref="A1:D6" totalsRowShown="0">
  <autoFilter ref="A1:D6" xr:uid="{6B2A29B8-A744-42BE-A820-624E72909065}"/>
  <tableColumns count="4">
    <tableColumn id="1" xr3:uid="{73330717-550B-4931-8865-933628E70661}" name="Vehicle Type"/>
    <tableColumn id="2" xr3:uid="{03F26760-7BA6-4104-B273-88304A664737}" name="Miles Driven"/>
    <tableColumn id="3" xr3:uid="{D4E8AC25-595D-4354-85BD-958EA0783D52}" name="Number of Cars"/>
    <tableColumn id="5" xr3:uid="{DDA9D7C1-A211-43B0-B42F-4E5D8639CB5A}" name="Date of Impor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19842D8-CFF3-480E-BB4A-661145A9F36C}" name="Deduplication_Table" displayName="Deduplication_Table" ref="A1:B6" totalsRowShown="0">
  <autoFilter ref="A1:B6" xr:uid="{F19842D8-CFF3-480E-BB4A-661145A9F36C}"/>
  <tableColumns count="2">
    <tableColumn id="1" xr3:uid="{542A7678-807B-45EE-859B-DCF2DE491795}" name="ID"/>
    <tableColumn id="2" xr3:uid="{8AB33621-35F3-44AA-BAB3-3F03EB379684}" name="Nam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EEA2436-B70E-47B8-B05F-057FF5E13C91}" name="MeanModeImputation_Table" displayName="MeanModeImputation_Table" ref="A1:A5" totalsRowShown="0">
  <autoFilter ref="A1:A5" xr:uid="{2EEA2436-B70E-47B8-B05F-057FF5E13C91}"/>
  <tableColumns count="1">
    <tableColumn id="1" xr3:uid="{FBC1F46A-53EF-4153-9F14-CB76ECDBD4CF}" name="Pric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C81B09C-2910-46D6-9C93-C73CBF3D3C35}" name="Substitution_Table" displayName="Substitution_Table" ref="A1:B5" totalsRowShown="0">
  <autoFilter ref="A1:B5" xr:uid="{BC81B09C-2910-46D6-9C93-C73CBF3D3C35}"/>
  <tableColumns count="2">
    <tableColumn id="1" xr3:uid="{5ED6FC0D-CFE9-462E-A051-1F0DED4640F9}" name="Model"/>
    <tableColumn id="2" xr3:uid="{F08C0EF3-3A56-4C7F-B783-15A4A3672F4A}" name="Pric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43F4357-1280-4541-A712-CBBE8581D1DA}" name="SubstitutionReference_Table" displayName="SubstitutionReference_Table" ref="D1:E3" totalsRowShown="0">
  <autoFilter ref="D1:E3" xr:uid="{A43F4357-1280-4541-A712-CBBE8581D1DA}"/>
  <tableColumns count="2">
    <tableColumn id="1" xr3:uid="{CF7D1079-34A4-4844-9D82-348BF604334F}" name="Reference Model"/>
    <tableColumn id="2" xr3:uid="{574BAC2B-803F-43B2-A726-7140F9A5178E}" name="Reference Price"/>
  </tableColumns>
  <tableStyleInfo name="TableStyleMedium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E254C1D-AAA7-4DEC-AF87-F4A6C0F7B28E}" name="HotDeckImputation_Table" displayName="HotDeckImputation_Table" ref="A1:D6" totalsRowShown="0">
  <autoFilter ref="A1:D6" xr:uid="{AE254C1D-AAA7-4DEC-AF87-F4A6C0F7B28E}"/>
  <sortState xmlns:xlrd2="http://schemas.microsoft.com/office/spreadsheetml/2017/richdata2" ref="A2:D6">
    <sortCondition ref="A2:A6"/>
    <sortCondition ref="B2:B6"/>
    <sortCondition ref="C2:C6"/>
    <sortCondition ref="D2:D6"/>
  </sortState>
  <tableColumns count="4">
    <tableColumn id="5" xr3:uid="{24A0E82E-DD9D-4224-B91E-38381B305308}" name="Brand"/>
    <tableColumn id="1" xr3:uid="{808814D1-0966-4966-96E2-56D80DAF16C0}" name="Model"/>
    <tableColumn id="3" xr3:uid="{30E422E6-DAB0-46F3-BC6E-4AD33B435AAF}" name="Storage"/>
    <tableColumn id="4" xr3:uid="{99D1D09F-EC42-4BEF-9D90-9B51F808EA41}" name="Pric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2FD1EB4-2801-4DE1-8C00-BE1CBE13BD78}" name="ColdDeckImputation_Table" displayName="ColdDeckImputation_Table" ref="A1:D6" totalsRowShown="0">
  <autoFilter ref="A1:D6" xr:uid="{52FD1EB4-2801-4DE1-8C00-BE1CBE13BD78}"/>
  <sortState xmlns:xlrd2="http://schemas.microsoft.com/office/spreadsheetml/2017/richdata2" ref="A2:D6">
    <sortCondition ref="A2:A6"/>
    <sortCondition ref="B2:B6"/>
    <sortCondition ref="C2:C6"/>
    <sortCondition ref="D2:D6"/>
  </sortState>
  <tableColumns count="4">
    <tableColumn id="5" xr3:uid="{42871D02-C0EE-46EF-899E-DEF2AB39CAF7}" name="Brand"/>
    <tableColumn id="1" xr3:uid="{B4C23175-F484-47C3-B86F-1026EAE152DA}" name="Model"/>
    <tableColumn id="3" xr3:uid="{28B0813F-4E4B-4650-AD7C-2539A9F73704}" name="Storage"/>
    <tableColumn id="4" xr3:uid="{3767A67A-49BB-4A39-B03C-714C4CF1931A}" name="Pric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5B48519-F0D8-4ED3-9836-90C246A4C5F7}" name="ColdDeckImputationReference_Table" displayName="ColdDeckImputationReference_Table" ref="F1:I4" totalsRowShown="0">
  <autoFilter ref="F1:I4" xr:uid="{E5B48519-F0D8-4ED3-9836-90C246A4C5F7}"/>
  <sortState xmlns:xlrd2="http://schemas.microsoft.com/office/spreadsheetml/2017/richdata2" ref="F2:I4">
    <sortCondition ref="F2:F4"/>
    <sortCondition ref="G2:G4"/>
    <sortCondition ref="H2:H4"/>
    <sortCondition ref="I2:I4"/>
  </sortState>
  <tableColumns count="4">
    <tableColumn id="1" xr3:uid="{11059009-096D-4C08-9531-742A632AB750}" name="Brand"/>
    <tableColumn id="2" xr3:uid="{1C502699-19A5-4455-B8BB-617CA73698E2}" name="Model"/>
    <tableColumn id="3" xr3:uid="{7E6AA396-E4BC-45E3-B2D5-FFC58E553CF2}" name="Storage"/>
    <tableColumn id="4" xr3:uid="{EBDE8963-8A86-4A1D-9BB6-09F0F8260C20}" name="Price"/>
  </tableColumns>
  <tableStyleInfo name="TableStyleMedium3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C151C18-C8D5-4650-9BDB-C3402B3E52FC}" name="RegressionImputation_Table" displayName="RegressionImputation_Table" ref="A1:B5" totalsRowShown="0">
  <autoFilter ref="A1:B5" xr:uid="{AE254C1D-AAA7-4DEC-AF87-F4A6C0F7B28E}"/>
  <sortState xmlns:xlrd2="http://schemas.microsoft.com/office/spreadsheetml/2017/richdata2" ref="A2:B5">
    <sortCondition ref="A2:A5"/>
    <sortCondition ref="B2:B5"/>
  </sortState>
  <tableColumns count="2">
    <tableColumn id="3" xr3:uid="{A68119BB-0B85-4CD5-9451-136353B5DF5B}" name="AdSpent"/>
    <tableColumn id="4" xr3:uid="{00686933-F637-476A-9BCD-F807845FC0C0}" name="Sales" dataDxfId="29" dataCellStyle="Comma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AF960B85-D432-4E0B-A2C8-CE636528C28B}" name="DescriptiveStatistics_Table" displayName="DescriptiveStatistics_Table" ref="A1:A2" insertRow="1" totalsRowShown="0">
  <autoFilter ref="A1:A2" xr:uid="{AF960B85-D432-4E0B-A2C8-CE636528C28B}"/>
  <tableColumns count="1">
    <tableColumn id="1" xr3:uid="{C0528C5E-EC57-4A4C-8162-8088FBAF7132}" name="Data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2D4BB35-7B26-4403-B445-DA66B75F51E2}" name="FeatureEngineering_Table" displayName="FeatureEngineering_Table" ref="A1:C4" totalsRowShown="0">
  <autoFilter ref="A1:C4" xr:uid="{02D4BB35-7B26-4403-B445-DA66B75F51E2}"/>
  <tableColumns count="3">
    <tableColumn id="1" xr3:uid="{8686F26E-1959-4F32-8DDA-ED8D7DAEB198}" name="Size (sq ft)" dataDxfId="28"/>
    <tableColumn id="2" xr3:uid="{8E5B1982-7732-496B-9C15-A03972E690FB}" name="Year Built"/>
    <tableColumn id="3" xr3:uid="{0AA22C16-B585-4956-A4BE-1A6E14188B16}" name="Price" dataDxfId="27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C950D3E-73C0-4E7D-9B34-55ED052B5395}" name="Normalization_Table" displayName="Normalization_Table" ref="A1:D6" totalsRowShown="0">
  <autoFilter ref="A1:D6" xr:uid="{8C950D3E-73C0-4E7D-9B34-55ED052B5395}"/>
  <tableColumns count="4">
    <tableColumn id="1" xr3:uid="{F7D586B3-2C68-41E3-9F80-4015F9878AAF}" name="Age"/>
    <tableColumn id="2" xr3:uid="{19A4394B-BB01-45EB-B27D-0915DA979322}" name="Income" dataDxfId="26" dataCellStyle="Comma"/>
    <tableColumn id="3" xr3:uid="{D09C0BD4-AEE0-4142-AA2D-54E7121AB57B}" name="Age_Normalized" dataDxfId="25"/>
    <tableColumn id="4" xr3:uid="{6A90426E-D5A8-4A4B-AEB5-D1191A36CE1A}" name="Income_Normalized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5F4E773-E390-4454-A24B-0CB16621B2E2}" name="Standardization_Table" displayName="Standardization_Table" ref="A1:D6" totalsRowShown="0">
  <autoFilter ref="A1:D6" xr:uid="{8C950D3E-73C0-4E7D-9B34-55ED052B5395}"/>
  <tableColumns count="4">
    <tableColumn id="1" xr3:uid="{A4C5DF05-44B6-4343-91A6-49696DEF4729}" name="Age"/>
    <tableColumn id="2" xr3:uid="{1AFEC74C-7709-4527-B51A-ABE7A00FEA0F}" name="Income" dataDxfId="24" dataCellStyle="Comma"/>
    <tableColumn id="3" xr3:uid="{193F2459-0E5C-4F79-8837-7A51458F3D33}" name="Age_Standardized" dataDxfId="23"/>
    <tableColumn id="4" xr3:uid="{9786FB4C-0075-4075-BE20-9287F8B56576}" name="Income_Standardized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CE738A3-2065-492C-96AC-72CC33556F55}" name="LabelEncoding_Table" displayName="LabelEncoding_Table" ref="A1:A5" totalsRowShown="0">
  <autoFilter ref="A1:A5" xr:uid="{4CE738A3-2065-492C-96AC-72CC33556F55}"/>
  <tableColumns count="1">
    <tableColumn id="1" xr3:uid="{DC857192-F420-4C6F-94D7-177ED095C6EC}" name="Siz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7ACA0BB-873E-4D39-9902-AA1949FE2134}" name="OneHotEncoding_Table" displayName="OneHotEncoding_Table" ref="A1:A5" totalsRowShown="0">
  <autoFilter ref="A1:A5" xr:uid="{B7ACA0BB-873E-4D39-9902-AA1949FE2134}"/>
  <tableColumns count="1">
    <tableColumn id="1" xr3:uid="{B6475822-E6E6-47C2-AA0E-8C07B97E143E}" name="Brand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525DD1E0-07B2-4BCA-AD96-4D1C39D00EF7}" name="FrequencyBasedEncoding_Table" displayName="FrequencyBasedEncoding_Table" ref="A1:A7" totalsRowShown="0">
  <autoFilter ref="A1:A7" xr:uid="{525DD1E0-07B2-4BCA-AD96-4D1C39D00EF7}"/>
  <tableColumns count="1">
    <tableColumn id="1" xr3:uid="{ABFC626F-6F18-431E-BB9F-DFF94BB5E590}" name="Country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EEA55953-4A8E-4B74-BB37-EE9B22F46DCF}" name="AgeContinuous_Table" displayName="AgeContinuous_Table" ref="A1:A6" totalsRowShown="0">
  <autoFilter ref="A1:A6" xr:uid="{EEA55953-4A8E-4B74-BB37-EE9B22F46DCF}"/>
  <tableColumns count="1">
    <tableColumn id="1" xr3:uid="{74DE0146-8810-486F-9A5C-E8F1A0EC1B78}" name="Age (Continuous)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2AA9AD7B-8624-4144-A7F5-C93D7D634394}" name="AgeDiscrete_Table" displayName="AgeDiscrete_Table" ref="C1:C6" totalsRowShown="0">
  <autoFilter ref="C1:C6" xr:uid="{2AA9AD7B-8624-4144-A7F5-C93D7D634394}"/>
  <tableColumns count="1">
    <tableColumn id="1" xr3:uid="{6EE30B3A-AA5F-40C0-8050-A04492528D38}" name="Age (Discrete)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8CB9B766-4003-48D4-8DAB-F0D3F0E1660B}" name="DiscretizationDomainBased_Table" displayName="DiscretizationDomainBased_Table" ref="A1:A10" totalsRowShown="0">
  <autoFilter ref="A1:A10" xr:uid="{8CB9B766-4003-48D4-8DAB-F0D3F0E1660B}"/>
  <tableColumns count="1">
    <tableColumn id="1" xr3:uid="{F90F32F9-F443-4194-8678-D243ECCFC0F4}" name="Age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A217D33A-4155-4749-9E4D-83ADD1C73035}" name="DiscretizationEqualWidth_Table" displayName="DiscretizationEqualWidth_Table" ref="A1:B10" totalsRowShown="0">
  <autoFilter ref="A1:B10" xr:uid="{8CB9B766-4003-48D4-8DAB-F0D3F0E1660B}"/>
  <tableColumns count="2">
    <tableColumn id="1" xr3:uid="{4BF192BE-B4A3-4035-B7B3-5D87439A79CA}" name="Age"/>
    <tableColumn id="4" xr3:uid="{941D882B-993B-4742-B82C-5C6000CF2699}" name="Bin" dataDxfId="22">
      <calculatedColumnFormula array="1">_xlfn.XLOOKUP(IFERROR(IF(INDIRECT("H"&amp;$E$4+1)="","",LOOKUP(DiscretizationEqualWidth_Table[[#This Row],[Age]],$H$2:$H$10)),""),$H$2:$H$10,$G$2:$G$10)</calculatedColumnFormula>
    </tableColumn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30A88147-F46F-4F7D-9E66-BD76F5947AFB}" name="DiscretizationEqualFrequency_Table" displayName="DiscretizationEqualFrequency_Table" ref="A1:B10" totalsRowShown="0">
  <autoFilter ref="A1:B10" xr:uid="{8CB9B766-4003-48D4-8DAB-F0D3F0E1660B}"/>
  <tableColumns count="2">
    <tableColumn id="1" xr3:uid="{C6C87F7F-6BDC-4C1B-A1CB-00637D94F238}" name="Age"/>
    <tableColumn id="4" xr3:uid="{59660611-33AA-4584-B216-C1460527972C}" name="Bin" dataDxfId="21">
      <calculatedColumnFormula>IF($E$1="","",ROUNDUP(_xlfn.RANK.EQ(A2,$A$2:$A$10,1)*$E$1/COUNTA($A$2:$A$10),0))</calculatedColumnFormula>
    </tableColumn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D70471E1-175E-4B67-845B-09C0F289BD21}" name="FeatureSplitting_Table" displayName="FeatureSplitting_Table" ref="A1:C3" totalsRowShown="0">
  <autoFilter ref="A1:C3" xr:uid="{D70471E1-175E-4B67-845B-09C0F289BD21}"/>
  <tableColumns count="3">
    <tableColumn id="4" xr3:uid="{309DCA18-6A06-43C1-A158-2C6BA0834B00}" name="Order ID"/>
    <tableColumn id="1" xr3:uid="{F7F2A1D5-CCC9-42D6-861A-0BFCA437AF0B}" name="Product Name"/>
    <tableColumn id="3" xr3:uid="{DC7AE867-8D5F-4FF2-847A-8C74A92B269A}" name="Date of Purchase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C08083C6-7DEA-492E-AAE8-729CE9B68FD1}" name="FeatureSelection_Table" displayName="FeatureSelection_Table" ref="A1:E5" totalsRowShown="0">
  <autoFilter ref="A1:E5" xr:uid="{C08083C6-7DEA-492E-AAE8-729CE9B68FD1}"/>
  <tableColumns count="5">
    <tableColumn id="1" xr3:uid="{4D09D5D9-8BF3-4372-B648-15C962BF8A82}" name="Person"/>
    <tableColumn id="2" xr3:uid="{56987069-B2BE-48C3-A1AD-99860ABC45A1}" name="Age"/>
    <tableColumn id="6" xr3:uid="{F4199EBB-8364-4CF7-9039-E3AE1920235A}" name="Eye Color"/>
    <tableColumn id="3" xr3:uid="{25DE3A7B-0BD8-4476-8E78-BF78A4B64EFD}" name="Height"/>
    <tableColumn id="4" xr3:uid="{729CF7F0-65F9-4E7E-8CF4-6E4F2837B940}" name="Weight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1621213E-6C88-4B94-B986-11A9728056B3}" name="FeatureExtraction_Table" displayName="FeatureExtraction_Table" ref="A1:C3" totalsRowShown="0">
  <autoFilter ref="A1:C3" xr:uid="{1621213E-6C88-4B94-B986-11A9728056B3}"/>
  <tableColumns count="3">
    <tableColumn id="1" xr3:uid="{DE610F7C-DEF1-4425-872D-B3DEE9D7D468}" name="Day"/>
    <tableColumn id="2" xr3:uid="{1B7AC506-B9A7-48D9-AA54-2B9C2E66D4A8}" name="Month"/>
    <tableColumn id="3" xr3:uid="{CBE0D753-CB8C-43DE-8753-30CD27ED4E8A}" name="Year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FE4C4295-40D3-4687-B249-A4166C61B640}" name="BagofWords_Table" displayName="BagofWords_Table" ref="A1:A2" totalsRowShown="0" dataDxfId="20">
  <autoFilter ref="A1:A2" xr:uid="{FE4C4295-40D3-4687-B249-A4166C61B640}"/>
  <tableColumns count="1">
    <tableColumn id="1" xr3:uid="{D8D369E1-2943-4167-B283-606856F506BD}" name="Sentence" dataDxfId="19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ADF175D2-F9B3-4429-B20D-CDDD5C9E5433}" name="Tokenization" displayName="Tokenization" ref="A1:A2" totalsRowShown="0">
  <autoFilter ref="A1:A2" xr:uid="{ADF175D2-F9B3-4429-B20D-CDDD5C9E5433}"/>
  <tableColumns count="1">
    <tableColumn id="1" xr3:uid="{38BF8337-A24F-49E1-A6D3-70A3EAB0632F}" name="Sentence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1501FCB2-E751-46BD-8C89-8DA17E72173F}" name="StopWords1Sentence_Table" displayName="StopWords1Sentence_Table" ref="A1:A2" totalsRowShown="0" dataDxfId="18">
  <autoFilter ref="A1:A2" xr:uid="{1501FCB2-E751-46BD-8C89-8DA17E72173F}"/>
  <tableColumns count="1">
    <tableColumn id="1" xr3:uid="{F246659C-152C-4FB3-90BA-43C0E1A703BA}" name="Stop Words Sentence" dataDxfId="17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D253267B-5D98-46DB-B141-F03B53015C7A}" name="StopWords2Values_Table" displayName="StopWords2Values_Table" ref="A4:A8" totalsRowShown="0">
  <autoFilter ref="A4:A8" xr:uid="{D253267B-5D98-46DB-B141-F03B53015C7A}"/>
  <tableColumns count="1">
    <tableColumn id="1" xr3:uid="{9474BA60-5489-48C2-8C49-B10E9D9F897E}" name="Stop Words Values"/>
  </tableColumns>
  <tableStyleInfo name="TableStyleMedium3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2D622EFA-9388-4CFE-903F-E81C6F64C7E7}" name="Stemming_Table" displayName="Stemming_Table" ref="A1:A4" totalsRowShown="0">
  <autoFilter ref="A1:A4" xr:uid="{2D622EFA-9388-4CFE-903F-E81C6F64C7E7}"/>
  <tableColumns count="1">
    <tableColumn id="1" xr3:uid="{0B080A9B-21BE-483C-8DF3-41A7782C1378}" name="Text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BFE0E3A-5344-46B0-9167-7E02B43D82B9}" name="HoldoutMethod1Training_Table" displayName="HoldoutMethod1Training_Table" ref="A1:D11" totalsRowShown="0">
  <autoFilter ref="A1:D11" xr:uid="{EBFE0E3A-5344-46B0-9167-7E02B43D82B9}"/>
  <tableColumns count="4">
    <tableColumn id="1" xr3:uid="{285B06FA-024D-4918-9983-BF1A8DB7A790}" name="StudentID"/>
    <tableColumn id="2" xr3:uid="{8AA924D4-1E73-4BC6-8AD2-D1DBCBE990F0}" name="StudyHours"/>
    <tableColumn id="3" xr3:uid="{3A492C64-389F-4A07-9D20-993FC645704B}" name="PreviousGrade"/>
    <tableColumn id="4" xr3:uid="{4501B1DA-05CC-4F3D-8291-C88B5222DB30}" name="Pass/Fail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3A12BE89-C6B7-4E57-86C5-D84BBCE96BD4}" name="kFoldCrossValidation_Table" displayName="kFoldCrossValidation_Table" ref="A1:E11" totalsRowShown="0">
  <autoFilter ref="A1:E11" xr:uid="{EBFE0E3A-5344-46B0-9167-7E02B43D82B9}"/>
  <tableColumns count="5">
    <tableColumn id="1" xr3:uid="{262E5B71-E519-4F77-9280-0114016882AA}" name="StudentID"/>
    <tableColumn id="2" xr3:uid="{FD20C69E-819A-47E0-9E43-D50E3397CCF5}" name="StudyHours"/>
    <tableColumn id="3" xr3:uid="{8B463C1C-CA2F-41C0-BABD-1601C4C8B431}" name="PreviousGrade"/>
    <tableColumn id="4" xr3:uid="{51E5FBD6-B1C7-4FC7-8B38-C7F280C63A6C}" name="Pass/Fail"/>
    <tableColumn id="5" xr3:uid="{FB7678FA-28FE-4C86-8A76-529398D9CFC1}" name="Fold Number" dataDxfId="16">
      <calculatedColumnFormula>IF($G$2="","",INT((ROW()-ROW($A$2))*$G$2/COUNTA($A$2:$A$11))+1)</calculatedColumnFormula>
    </tableColumn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F42DAAFA-BC75-42F9-B5AE-F36FD0EACED8}" name="LeavePOutCrossValidation_Table" displayName="LeavePOutCrossValidation_Table" ref="A1:E11" totalsRowShown="0">
  <autoFilter ref="A1:E11" xr:uid="{EBFE0E3A-5344-46B0-9167-7E02B43D82B9}"/>
  <tableColumns count="5">
    <tableColumn id="1" xr3:uid="{16F61CFA-DFCE-4165-9B22-7009ABD5D4E1}" name="StudentID"/>
    <tableColumn id="2" xr3:uid="{B1336035-B2FE-4016-A015-5D87D9FA1A15}" name="StudyHours"/>
    <tableColumn id="3" xr3:uid="{3CAC7EE1-BC6E-4775-BB97-21D4F4372AFD}" name="PreviousGrade"/>
    <tableColumn id="4" xr3:uid="{B8A17AD3-FFE8-4B3E-82DC-46BF09B19156}" name="Pass/Fail"/>
    <tableColumn id="5" xr3:uid="{52478D12-874B-4502-AC07-E46603DD3A76}" name="Fold Number" dataDxfId="15">
      <calculatedColumnFormula>IF($G$2="","",INT((ROW()-ROW($A$2))*$G$2/COUNTA($A$2:$A$11))+1)</calculatedColumnFormula>
    </tableColumn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FE53A07B-CB28-4F42-A2D1-7D94C917E6EB}" name="NormalLinearRegression_Table" displayName="NormalLinearRegression_Table" ref="A1:B6" totalsRowShown="0" headerRowDxfId="14">
  <autoFilter ref="A1:B6" xr:uid="{FE53A07B-CB28-4F42-A2D1-7D94C917E6EB}"/>
  <tableColumns count="2">
    <tableColumn id="1" xr3:uid="{5A43AB46-616E-4C3D-8DE0-366538D580C5}" name="ADS SPENT_x000a_Independent_x000a_X-Axis"/>
    <tableColumn id="2" xr3:uid="{F92273CB-013B-4EA3-9C9B-74911651E18D}" name="SALES_x000a_Dependent_x000a_Y-Axis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35E68FCC-2A4B-4ADA-8E55-97CE993CA4D3}" name="CostFunctionLinearRegression_Table" displayName="CostFunctionLinearRegression_Table" ref="A6:F11" totalsRowShown="0" headerRowDxfId="13">
  <autoFilter ref="A6:F11" xr:uid="{FE53A07B-CB28-4F42-A2D1-7D94C917E6EB}"/>
  <tableColumns count="6">
    <tableColumn id="1" xr3:uid="{7468A135-060D-4687-94EE-E0CB3E9EFA22}" name="ADS SPENT_x000a_Independent_x000a_X-Axis"/>
    <tableColumn id="2" xr3:uid="{8635FFA8-6165-4F0B-AC87-D23F821BD907}" name="SALES_x000a_Dependent_x000a_Y-Axis"/>
    <tableColumn id="3" xr3:uid="{F3D71103-30EB-4269-9BB3-5184CAF58124}" name="SALES_x000a_Predicted_x000a_Y'-Axis" dataDxfId="12"/>
    <tableColumn id="4" xr3:uid="{18F35667-5F43-4130-8B07-951A3EC9643E}" name="ERROR_x000a_Predicted - Actual" dataDxfId="11"/>
    <tableColumn id="5" xr3:uid="{F1AF8FC2-D9FF-4202-B491-64EB563E19E8}" name="SQUARED" dataDxfId="10"/>
    <tableColumn id="6" xr3:uid="{4A985E7F-6B5C-4653-B629-49059FB05B97}" name="ABSOLUTE" dataDxfId="9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2FF32046-B53C-4C27-9D66-9FF5C877F051}" name="BikeRentals" displayName="BikeRentals" ref="A1:E366" headerRowDxfId="8">
  <autoFilter ref="A1:E366" xr:uid="{00000000-0009-0000-0100-000001000000}"/>
  <tableColumns count="5">
    <tableColumn id="1" xr3:uid="{6D1DB859-B066-449F-9ED6-8556DE57EF7F}" name="Temperature"/>
    <tableColumn id="2" xr3:uid="{F1E1DFF9-42B4-4202-82E7-6684F7A5AF13}" name="Humidity"/>
    <tableColumn id="3" xr3:uid="{21D1C142-8825-4E03-83A2-4965621969D3}" name="WindSpeed"/>
    <tableColumn id="4" xr3:uid="{8FEF69DF-416E-4482-A845-291AF03D6DD3}" name="Weather"/>
    <tableColumn id="5" xr3:uid="{EF98185C-8783-4A4D-9325-3635F00DC728}" name="Rentals" dataDxfId="7" dataCellStyle="Comma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21763C58-2D49-4C5C-AC5F-4287B099AC88}" name="RidgeLasso" displayName="RidgeLasso" ref="A1:B6" totalsRowShown="0">
  <autoFilter ref="A1:B6" xr:uid="{A01B30FD-D802-4D22-9785-37DB2BA05565}"/>
  <tableColumns count="2">
    <tableColumn id="1" xr3:uid="{39EBC2D7-5F13-45E5-8A39-D40C18D82DA8}" name="Hours"/>
    <tableColumn id="2" xr3:uid="{C619F942-BBA9-41EC-B76D-C86306A8883A}" name="Score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597E252A-5CC5-4082-AD70-8EC15DFE4474}" name="LinearRegressionProblem_Table" displayName="LinearRegressionProblem_Table" ref="A2:E7" totalsRowShown="0" headerRowDxfId="6">
  <autoFilter ref="A2:E7" xr:uid="{FE53A07B-CB28-4F42-A2D1-7D94C917E6EB}"/>
  <tableColumns count="5">
    <tableColumn id="1" xr3:uid="{0758C8B7-EA2F-408F-8851-F908E7F89581}" name="AdSpent"/>
    <tableColumn id="2" xr3:uid="{5D559FA7-1EA7-486E-A9F5-F8492BA272B1}" name="Sales"/>
    <tableColumn id="3" xr3:uid="{DC58FD6F-713F-4709-AB27-05D8D557A41F}" name="SALES_x000a_Predicted_x000a_Y'-Axis" dataDxfId="5">
      <calculatedColumnFormula array="1">(INDEX(ManualSlopeIntercept_Table[b (Intercept)],ROWS(ManualSlopeIntercept_Table[b (Intercept)])))+(INDEX(ManualSlopeIntercept_Table[a (Slope)],ROWS(ManualSlopeIntercept_Table[a (Slope)])))*LinearRegressionProblem_Table[[#This Row],[AdSpent]]</calculatedColumnFormula>
    </tableColumn>
    <tableColumn id="4" xr3:uid="{92415597-9C3C-4CB4-992E-E992AE52F3A9}" name="ERROR_x000a_Predicted - Actual" dataDxfId="4">
      <calculatedColumnFormula>LinearRegressionProblem_Table[[#This Row],[SALES
Predicted
Y''-Axis]]-LinearRegressionProblem_Table[[#This Row],[Sales]]</calculatedColumnFormula>
    </tableColumn>
    <tableColumn id="5" xr3:uid="{A3222163-7DEC-402F-9985-4991CCD6A544}" name="SQUARED" dataDxfId="3">
      <calculatedColumnFormula>POWER(LinearRegressionProblem_Table[[#This Row],[ERROR
Predicted - Actual]],2)</calculatedColumnFormula>
    </tableColumn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408BB0B2-0162-42DF-8758-B0F852037DC5}" name="ManualSlopeIntercept_Table" displayName="ManualSlopeIntercept_Table" ref="G2:H3" totalsRowShown="0">
  <autoFilter ref="G2:H3" xr:uid="{408BB0B2-0162-42DF-8758-B0F852037DC5}"/>
  <tableColumns count="2">
    <tableColumn id="1" xr3:uid="{A20B0EC9-5F6A-4C68-9587-82F05E6D1418}" name="a (Slope)"/>
    <tableColumn id="2" xr3:uid="{287BE7F0-ECC8-465D-9CEC-37566EDB918E}" name="b (Intercept)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D8640647-CD24-4664-9347-3F3D7DBA2DE3}" name="LinearRegressionShortcomings_Table" displayName="LinearRegressionShortcomings_Table" ref="A1:C2" insertRow="1" totalsRowShown="0">
  <autoFilter ref="A1:C2" xr:uid="{D8640647-CD24-4664-9347-3F3D7DBA2DE3}"/>
  <sortState xmlns:xlrd2="http://schemas.microsoft.com/office/spreadsheetml/2017/richdata2" ref="A2:C2">
    <sortCondition ref="A1:A2"/>
  </sortState>
  <tableColumns count="3">
    <tableColumn id="1" xr3:uid="{09AF6C60-ED6A-41F4-9528-C7F583467B20}" name="Cholesterol"/>
    <tableColumn id="2" xr3:uid="{28FBAFDC-ABBD-4FBF-AE32-580A7F77387F}" name="Heart Disease"/>
    <tableColumn id="3" xr3:uid="{FCDFCB04-584E-4152-A563-9D4BC66E3924}" name="Threshold" dataDxfId="2">
      <calculatedColumnFormula>0.5</calculatedColumnFormula>
    </tableColumn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783A16A6-2080-4C6D-88CD-EBF31EB82AD1}" name="Customers" displayName="Customers" ref="A1:E9" totalsRowShown="0">
  <autoFilter ref="A1:E9" xr:uid="{1BB30D3E-877E-4417-AFFC-AFC7BA3614C3}"/>
  <tableColumns count="5">
    <tableColumn id="1" xr3:uid="{9A6E2CE9-1A51-4780-B8E6-C9B0330BCD21}" name="Customer"/>
    <tableColumn id="2" xr3:uid="{74B0A30B-E4D7-4F3F-9E03-4BF002D69426}" name="Age"/>
    <tableColumn id="3" xr3:uid="{0D8D4A43-A5F9-484E-B55C-96342964F1EA}" name="Income" dataDxfId="1" dataCellStyle="Comma"/>
    <tableColumn id="4" xr3:uid="{656893BA-D6CF-4C9A-9575-012EAA6C9E92}" name="Loan" dataDxfId="0" dataCellStyle="Comma"/>
    <tableColumn id="5" xr3:uid="{492D3A22-5E1E-4B7C-B506-96DE7EBF0529}" name="Approv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2.xml"/><Relationship Id="rId1" Type="http://schemas.openxmlformats.org/officeDocument/2006/relationships/table" Target="../tables/table3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2.xml"/><Relationship Id="rId1" Type="http://schemas.openxmlformats.org/officeDocument/2006/relationships/table" Target="../tables/table41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5"/>
  <sheetViews>
    <sheetView tabSelected="1" zoomScale="130" zoomScaleNormal="130" workbookViewId="0"/>
  </sheetViews>
  <sheetFormatPr defaultRowHeight="14.25" x14ac:dyDescent="0.45"/>
  <cols>
    <col min="1" max="1" width="26.265625" bestFit="1" customWidth="1"/>
  </cols>
  <sheetData>
    <row r="1" spans="1:1" x14ac:dyDescent="0.45">
      <c r="A1" s="2" t="s">
        <v>5</v>
      </c>
    </row>
    <row r="2" spans="1:1" x14ac:dyDescent="0.45">
      <c r="A2" s="2" t="s">
        <v>6</v>
      </c>
    </row>
    <row r="3" spans="1:1" x14ac:dyDescent="0.45">
      <c r="A3" s="2" t="s">
        <v>19</v>
      </c>
    </row>
    <row r="4" spans="1:1" x14ac:dyDescent="0.45">
      <c r="A4" s="2" t="s">
        <v>20</v>
      </c>
    </row>
    <row r="5" spans="1:1" x14ac:dyDescent="0.45">
      <c r="A5" s="2" t="s">
        <v>21</v>
      </c>
    </row>
    <row r="6" spans="1:1" x14ac:dyDescent="0.45">
      <c r="A6" s="2" t="s">
        <v>28</v>
      </c>
    </row>
    <row r="7" spans="1:1" x14ac:dyDescent="0.45">
      <c r="A7" s="2" t="s">
        <v>39</v>
      </c>
    </row>
    <row r="8" spans="1:1" x14ac:dyDescent="0.45">
      <c r="A8" s="2" t="s">
        <v>46</v>
      </c>
    </row>
    <row r="9" spans="1:1" x14ac:dyDescent="0.45">
      <c r="A9" s="2" t="s">
        <v>47</v>
      </c>
    </row>
    <row r="10" spans="1:1" x14ac:dyDescent="0.45">
      <c r="A10" s="2" t="s">
        <v>63</v>
      </c>
    </row>
    <row r="11" spans="1:1" x14ac:dyDescent="0.45">
      <c r="A11" s="2" t="s">
        <v>64</v>
      </c>
    </row>
    <row r="12" spans="1:1" x14ac:dyDescent="0.45">
      <c r="A12" s="2" t="s">
        <v>66</v>
      </c>
    </row>
    <row r="13" spans="1:1" x14ac:dyDescent="0.45">
      <c r="A13" s="2" t="s">
        <v>165</v>
      </c>
    </row>
    <row r="14" spans="1:1" x14ac:dyDescent="0.45">
      <c r="A14" s="2" t="s">
        <v>194</v>
      </c>
    </row>
    <row r="15" spans="1:1" x14ac:dyDescent="0.45">
      <c r="A15" s="2" t="s">
        <v>71</v>
      </c>
    </row>
    <row r="16" spans="1:1" x14ac:dyDescent="0.45">
      <c r="A16" s="2" t="s">
        <v>75</v>
      </c>
    </row>
    <row r="17" spans="1:1" x14ac:dyDescent="0.45">
      <c r="A17" s="2" t="s">
        <v>78</v>
      </c>
    </row>
    <row r="18" spans="1:1" x14ac:dyDescent="0.45">
      <c r="A18" s="2" t="s">
        <v>82</v>
      </c>
    </row>
    <row r="19" spans="1:1" x14ac:dyDescent="0.45">
      <c r="A19" s="2" t="s">
        <v>90</v>
      </c>
    </row>
    <row r="20" spans="1:1" x14ac:dyDescent="0.45">
      <c r="A20" s="2" t="s">
        <v>91</v>
      </c>
    </row>
    <row r="21" spans="1:1" x14ac:dyDescent="0.45">
      <c r="A21" s="2" t="s">
        <v>94</v>
      </c>
    </row>
    <row r="22" spans="1:1" x14ac:dyDescent="0.45">
      <c r="A22" s="2" t="s">
        <v>95</v>
      </c>
    </row>
    <row r="23" spans="1:1" x14ac:dyDescent="0.45">
      <c r="A23" s="2" t="s">
        <v>105</v>
      </c>
    </row>
    <row r="24" spans="1:1" x14ac:dyDescent="0.45">
      <c r="A24" s="2" t="s">
        <v>109</v>
      </c>
    </row>
    <row r="25" spans="1:1" x14ac:dyDescent="0.45">
      <c r="A25" s="2" t="s">
        <v>127</v>
      </c>
    </row>
    <row r="26" spans="1:1" x14ac:dyDescent="0.45">
      <c r="A26" s="2" t="s">
        <v>117</v>
      </c>
    </row>
    <row r="27" spans="1:1" x14ac:dyDescent="0.45">
      <c r="A27" s="2" t="s">
        <v>133</v>
      </c>
    </row>
    <row r="28" spans="1:1" x14ac:dyDescent="0.45">
      <c r="A28" s="2" t="s">
        <v>137</v>
      </c>
    </row>
    <row r="29" spans="1:1" x14ac:dyDescent="0.45">
      <c r="A29" s="2" t="s">
        <v>250</v>
      </c>
    </row>
    <row r="30" spans="1:1" x14ac:dyDescent="0.45">
      <c r="A30" s="2" t="s">
        <v>147</v>
      </c>
    </row>
    <row r="31" spans="1:1" x14ac:dyDescent="0.45">
      <c r="A31" s="2" t="s">
        <v>150</v>
      </c>
    </row>
    <row r="32" spans="1:1" x14ac:dyDescent="0.45">
      <c r="A32" s="2" t="s">
        <v>157</v>
      </c>
    </row>
    <row r="33" spans="1:1" x14ac:dyDescent="0.45">
      <c r="A33" s="2" t="s">
        <v>163</v>
      </c>
    </row>
    <row r="34" spans="1:1" x14ac:dyDescent="0.45">
      <c r="A34" s="2" t="s">
        <v>175</v>
      </c>
    </row>
    <row r="35" spans="1:1" x14ac:dyDescent="0.45">
      <c r="A35" s="2" t="s">
        <v>192</v>
      </c>
    </row>
    <row r="36" spans="1:1" x14ac:dyDescent="0.45">
      <c r="A36" s="2" t="s">
        <v>267</v>
      </c>
    </row>
    <row r="37" spans="1:1" x14ac:dyDescent="0.45">
      <c r="A37" s="2" t="s">
        <v>288</v>
      </c>
    </row>
    <row r="38" spans="1:1" x14ac:dyDescent="0.45">
      <c r="A38" s="2" t="s">
        <v>199</v>
      </c>
    </row>
    <row r="39" spans="1:1" x14ac:dyDescent="0.45">
      <c r="A39" s="2" t="s">
        <v>202</v>
      </c>
    </row>
    <row r="40" spans="1:1" x14ac:dyDescent="0.45">
      <c r="A40" s="2" t="s">
        <v>206</v>
      </c>
    </row>
    <row r="41" spans="1:1" x14ac:dyDescent="0.45">
      <c r="A41" s="2" t="s">
        <v>305</v>
      </c>
    </row>
    <row r="42" spans="1:1" x14ac:dyDescent="0.45">
      <c r="A42" s="2" t="s">
        <v>223</v>
      </c>
    </row>
    <row r="43" spans="1:1" x14ac:dyDescent="0.45">
      <c r="A43" s="2" t="s">
        <v>224</v>
      </c>
    </row>
    <row r="44" spans="1:1" x14ac:dyDescent="0.45">
      <c r="A44" s="2" t="s">
        <v>229</v>
      </c>
    </row>
    <row r="45" spans="1:1" x14ac:dyDescent="0.45">
      <c r="A45" s="2" t="s">
        <v>239</v>
      </c>
    </row>
  </sheetData>
  <hyperlinks>
    <hyperlink ref="A1" location="'Data Reduction'!A1" display="Data Reduction" xr:uid="{CE05C165-4FC7-431F-A68B-A8E217D8FB4C}"/>
    <hyperlink ref="A2" location="Errors!A1" display="Errors" xr:uid="{551E6AEA-EF04-49F3-B978-83E4F8FA5517}"/>
    <hyperlink ref="A3" location="'Outliers ZScore'!A1" display="Outliers Zscore" xr:uid="{0E0AC366-46C4-4B07-903B-BEB7A6A35162}"/>
    <hyperlink ref="A4" location="'Outliers IQR'!A1" display="Outliers IQR" xr:uid="{0674A2F6-93E0-4B2E-AA7D-79F3B0AD6357}"/>
    <hyperlink ref="A5" location="ETL!A1" display="ETL" xr:uid="{1F6FF75D-7417-4971-9900-271170391C3F}"/>
    <hyperlink ref="A6" location="'Corrupted or Unusable Data'!A1" display="Corrupted or Unusable Data" xr:uid="{FB1981EF-25C5-4BA8-B472-313C07F47E1D}"/>
    <hyperlink ref="A7" location="Deduplication!A1" display="Deduplication" xr:uid="{91E70C81-ECF9-4E20-B15C-2A839DEF942F}"/>
    <hyperlink ref="A8" location="'Mean Mode Imputation'!A1" display="Mean Mode Imputation" xr:uid="{CB1BFCFA-E869-4D44-8C4F-B20EAE63E819}"/>
    <hyperlink ref="A9" location="Substitution!A1" display="Substitution" xr:uid="{F63973A4-9A6D-4B23-8E46-5C1523A46D05}"/>
    <hyperlink ref="A10" location="'Hot Deck Imputation'!A1" display="Hot Deck Imputation" xr:uid="{5C239345-0694-4474-8810-C89B9FAFAB9F}"/>
    <hyperlink ref="A11" location="'Cold Deck Imputation'!A1" display="Cold Deck Imputation" xr:uid="{5F67638D-AF92-4CE3-BF1C-2AF4C6F8C592}"/>
    <hyperlink ref="A12" location="'Regression Imputation'!A1" display="Regression Imputation" xr:uid="{88D5FC4C-6C74-4D1C-8554-D8ED1C03501A}"/>
    <hyperlink ref="A15" location="Normalization!A1" display="Normalization" xr:uid="{BAB11CFE-4D91-449E-8E41-856AB0405D44}"/>
    <hyperlink ref="A16" location="Standardization!A1" display="Standardization" xr:uid="{328298FB-DF56-4A38-A6E0-FD45974CD0E0}"/>
    <hyperlink ref="A17" location="'Label Encoding'!A1" display="Label Encoding" xr:uid="{7451FEEF-9058-4009-865E-57861C398BD0}"/>
    <hyperlink ref="A18" location="'One-Hot Encoding'!A1" display="One-Hot Encoding" xr:uid="{7EFCADFA-978F-413F-9922-3CDB7B224A62}"/>
    <hyperlink ref="A19" location="'Frequency Based Encoding'!A1" display="Frequency Based Encoding" xr:uid="{9A7F22DC-FFFA-4E59-8CD3-562D45EC619E}"/>
    <hyperlink ref="A20" location="'Continuous VS Discrete'!A1" display="Continuous VS Discrete" xr:uid="{148D40ED-82DB-4487-BF7D-1F86B5D03DFC}"/>
    <hyperlink ref="A21" location="'Discretization Domain-Based'!A1" display="Discretization Domain-Based" xr:uid="{F56CDD40-272B-4ABF-8945-D346C2D697CC}"/>
    <hyperlink ref="A22" location="'Discretization Equal-Width'!A1" display="Discretization Equal-Width" xr:uid="{204C7067-1AF7-44CF-94D5-9A74E7E2DED1}"/>
    <hyperlink ref="A23" location="'Discretization Equal-Frequency'!A1" display="Discretization Equal-Frequency" xr:uid="{317934A7-3888-4632-B1C6-35539B43AF63}"/>
    <hyperlink ref="A24" location="'Feature Splitting'!A1" display="Feature Splitting" xr:uid="{2A01C527-B945-45BD-A8D6-9BE6137CCBB5}"/>
    <hyperlink ref="A26" location="'Feature Extraction'!A1" display="Feature Extraction" xr:uid="{CFBB40F3-F0AB-4B16-9CC8-3FE5DBA55195}"/>
    <hyperlink ref="A25" location="'Feature Selection'!A1" display="Feature Selection" xr:uid="{F78913E6-3F8C-4C75-BEEE-34A7E771A9F9}"/>
    <hyperlink ref="A27" location="'Bag of Words'!A1" display="Bag of Words" xr:uid="{63BFC116-3E7C-44D3-AB12-7C677F2D89AD}"/>
    <hyperlink ref="A28" location="Tokenization!A1" display="Tokenization" xr:uid="{CA22AD8A-3243-452F-B280-FA080DBC06DF}"/>
    <hyperlink ref="A30" location="Stemming!A1" display="Stemming" xr:uid="{311391E3-697A-4ADA-8ED2-17F9717AC633}"/>
    <hyperlink ref="A31" location="'Holdout Method'!A1" display="Holdout Method" xr:uid="{A07DF3DA-9A02-48AF-B647-ECF2A93945DF}"/>
    <hyperlink ref="A32" location="'k-Fold Cross Validation'!A1" display="k-Fold Cross Validation" xr:uid="{5777516A-94CC-4C67-A815-6994C72AD3ED}"/>
    <hyperlink ref="A33" location="'Leave-p-out Cross Validation'!A1" display="Leave-p-out Cross Validation" xr:uid="{2692DCF4-C0D7-45DE-A8A0-E18041D68D4F}"/>
    <hyperlink ref="A13" location="'Descriptive Statistics'!A1" display="Descriptive Statistics" xr:uid="{43354FF4-46F8-405A-B89D-647FFE731FD6}"/>
    <hyperlink ref="A34" location="'Normal Linear Regression'!A1" display="Normal Linear Regression" xr:uid="{80912105-F9E3-43BB-9C0A-6BDD9C827109}"/>
    <hyperlink ref="A35" location="'Cost Function Linear Regression'!A1" display="Cost Function Linear Regression" xr:uid="{EF1A42E1-FDB0-4BA8-B575-23E596164B47}"/>
    <hyperlink ref="A38" location="'Linear Regression Problem'!A1" display="Linear Regression Problem" xr:uid="{FC17CB13-8E77-427D-B7D5-7759B9850B24}"/>
    <hyperlink ref="A39" location="'Linear Regression Shortcomings'!A1" display="Linear Regression Shortcomings" xr:uid="{86134CCF-C334-4F41-8DA1-6499229277B8}"/>
    <hyperlink ref="A40" location="'k-Nearest Neighbor'!A1" display="k-Nearest Neighbor" xr:uid="{36A53B93-A859-444C-A932-88C4E9F7614B}"/>
    <hyperlink ref="A42" location="'Grid Search'!A1" display="Grid Search" xr:uid="{43780F07-C04F-4480-828E-3DB0D81059CB}"/>
    <hyperlink ref="A43" location="'Randomized Search'!A1" display="Randomized Search" xr:uid="{4F0C4605-5BB3-4E71-BFD9-ED49BCD84EAB}"/>
    <hyperlink ref="A44" location="'K-means Clustering'!A1" display="K-means Clustering" xr:uid="{AEC80EE7-FC88-4AF1-9863-60A3688A4596}"/>
    <hyperlink ref="A45" location="ARIMA!A1" display="ARIMA" xr:uid="{0BD7B75E-937F-42D3-A6BB-304568387C3F}"/>
    <hyperlink ref="A29" location="'Stop Words'!A1" display="Stop Words" xr:uid="{F8691743-2D27-46EF-B4B8-895EDD675E3D}"/>
    <hyperlink ref="A36" location="'Linear Regression - Project'!A1" display="Linear Regression - Project" xr:uid="{48DA3CD2-6356-463C-BD8E-27425CCD91FD}"/>
    <hyperlink ref="A37" location="'OLS vs Ridge vs Lasso'!A1" display="OLS vs Ridge vs Lasso" xr:uid="{EEEF1BD7-5FE4-42E5-9AC1-3DB4C27AEFB2}"/>
    <hyperlink ref="A14" location="'Feature Engineering'!A1" display="Feature Engineering" xr:uid="{4AF8F9CD-01C1-4325-A594-66E9F7E1567F}"/>
    <hyperlink ref="A41" location="'k-Nearest Neighbor - Project'!A1" display="k-Nearest Neighbor - Project" xr:uid="{5341CF70-2D99-4A5E-B400-755442C568E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291FF-7E52-42E3-BE90-4C0FF721378A}">
  <dimension ref="A1:E3"/>
  <sheetViews>
    <sheetView zoomScale="205" zoomScaleNormal="205" workbookViewId="0"/>
  </sheetViews>
  <sheetFormatPr defaultRowHeight="14.25" x14ac:dyDescent="0.45"/>
  <cols>
    <col min="1" max="1" width="10.265625" bestFit="1" customWidth="1"/>
    <col min="2" max="2" width="11.265625" bestFit="1" customWidth="1"/>
    <col min="3" max="3" width="10" bestFit="1" customWidth="1"/>
    <col min="4" max="5" width="11.73046875" bestFit="1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1</v>
      </c>
      <c r="B2">
        <v>3</v>
      </c>
      <c r="C2">
        <v>123</v>
      </c>
      <c r="D2">
        <v>24.957669375073898</v>
      </c>
      <c r="E2">
        <v>46.699779459044301</v>
      </c>
    </row>
    <row r="3" spans="1:5" x14ac:dyDescent="0.45">
      <c r="A3">
        <v>2</v>
      </c>
      <c r="B3">
        <v>5</v>
      </c>
      <c r="C3">
        <v>456</v>
      </c>
      <c r="D3">
        <v>33.827616579688701</v>
      </c>
      <c r="E3" s="1">
        <v>35.4935108010581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30656-B413-4328-9E8A-F49F78E1ED8B}">
  <dimension ref="A1:A5"/>
  <sheetViews>
    <sheetView zoomScale="190" zoomScaleNormal="190" workbookViewId="0"/>
  </sheetViews>
  <sheetFormatPr defaultRowHeight="14.25" x14ac:dyDescent="0.45"/>
  <cols>
    <col min="1" max="1" width="17.73046875" bestFit="1" customWidth="1"/>
  </cols>
  <sheetData>
    <row r="1" spans="1:1" x14ac:dyDescent="0.45">
      <c r="A1" t="s">
        <v>7</v>
      </c>
    </row>
    <row r="2" spans="1:1" x14ac:dyDescent="0.45">
      <c r="A2">
        <v>81</v>
      </c>
    </row>
    <row r="3" spans="1:1" x14ac:dyDescent="0.45">
      <c r="A3">
        <v>94</v>
      </c>
    </row>
    <row r="4" spans="1:1" x14ac:dyDescent="0.45">
      <c r="A4">
        <v>710</v>
      </c>
    </row>
    <row r="5" spans="1:1" x14ac:dyDescent="0.45">
      <c r="A5">
        <v>64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3FB62-F466-4C62-BDA4-54C33A6DCB18}">
  <dimension ref="A1:F12"/>
  <sheetViews>
    <sheetView zoomScale="130" zoomScaleNormal="130" workbookViewId="0"/>
  </sheetViews>
  <sheetFormatPr defaultRowHeight="14.25" x14ac:dyDescent="0.45"/>
  <cols>
    <col min="1" max="1" width="10.796875" customWidth="1"/>
    <col min="2" max="2" width="19" bestFit="1" customWidth="1"/>
    <col min="3" max="3" width="21.9296875" bestFit="1" customWidth="1"/>
    <col min="4" max="4" width="23.59765625" customWidth="1"/>
    <col min="6" max="6" width="15.86328125" bestFit="1" customWidth="1"/>
  </cols>
  <sheetData>
    <row r="1" spans="1:6" ht="51" x14ac:dyDescent="0.75">
      <c r="A1" s="4" t="s">
        <v>8</v>
      </c>
      <c r="B1" s="4" t="s">
        <v>9</v>
      </c>
      <c r="C1" s="4" t="s">
        <v>10</v>
      </c>
      <c r="D1" s="4" t="s">
        <v>11</v>
      </c>
      <c r="F1" s="5" t="s">
        <v>12</v>
      </c>
    </row>
    <row r="2" spans="1:6" ht="14.65" thickBot="1" x14ac:dyDescent="0.5">
      <c r="A2">
        <v>12</v>
      </c>
      <c r="F2" s="6"/>
    </row>
    <row r="3" spans="1:6" x14ac:dyDescent="0.45">
      <c r="A3">
        <v>13</v>
      </c>
    </row>
    <row r="4" spans="1:6" x14ac:dyDescent="0.45">
      <c r="A4">
        <v>14</v>
      </c>
    </row>
    <row r="5" spans="1:6" x14ac:dyDescent="0.45">
      <c r="A5">
        <v>14</v>
      </c>
    </row>
    <row r="6" spans="1:6" x14ac:dyDescent="0.45">
      <c r="A6">
        <v>15</v>
      </c>
    </row>
    <row r="7" spans="1:6" x14ac:dyDescent="0.45">
      <c r="A7">
        <v>15</v>
      </c>
    </row>
    <row r="8" spans="1:6" x14ac:dyDescent="0.45">
      <c r="A8">
        <v>16</v>
      </c>
    </row>
    <row r="9" spans="1:6" x14ac:dyDescent="0.45">
      <c r="A9">
        <v>16</v>
      </c>
    </row>
    <row r="10" spans="1:6" x14ac:dyDescent="0.45">
      <c r="A10">
        <v>17</v>
      </c>
    </row>
    <row r="11" spans="1:6" x14ac:dyDescent="0.45">
      <c r="A11">
        <v>18</v>
      </c>
    </row>
    <row r="12" spans="1:6" x14ac:dyDescent="0.45">
      <c r="A12">
        <v>45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EC229-B61B-4F52-ADE0-837A64350732}">
  <dimension ref="A1:H12"/>
  <sheetViews>
    <sheetView zoomScale="145" zoomScaleNormal="145" workbookViewId="0"/>
  </sheetViews>
  <sheetFormatPr defaultRowHeight="14.25" x14ac:dyDescent="0.45"/>
  <cols>
    <col min="1" max="1" width="9.86328125" customWidth="1"/>
    <col min="2" max="2" width="11.59765625" bestFit="1" customWidth="1"/>
    <col min="6" max="6" width="10.53125" bestFit="1" customWidth="1"/>
    <col min="7" max="7" width="12.9296875" bestFit="1" customWidth="1"/>
    <col min="8" max="8" width="14.46484375" customWidth="1"/>
  </cols>
  <sheetData>
    <row r="1" spans="1:8" ht="28.5" x14ac:dyDescent="0.45">
      <c r="A1" s="7" t="s">
        <v>8</v>
      </c>
      <c r="B1" s="3" t="s">
        <v>17</v>
      </c>
      <c r="C1" s="3"/>
      <c r="D1" s="8" t="s">
        <v>13</v>
      </c>
      <c r="E1" s="9" t="s">
        <v>14</v>
      </c>
      <c r="F1" s="10" t="s">
        <v>15</v>
      </c>
      <c r="G1" s="10" t="s">
        <v>16</v>
      </c>
      <c r="H1" s="11" t="s">
        <v>18</v>
      </c>
    </row>
    <row r="2" spans="1:8" ht="14.65" thickBot="1" x14ac:dyDescent="0.5">
      <c r="A2">
        <v>12</v>
      </c>
      <c r="D2" s="12"/>
      <c r="E2" s="13"/>
      <c r="F2" s="13"/>
      <c r="G2" s="13"/>
      <c r="H2" s="14"/>
    </row>
    <row r="3" spans="1:8" x14ac:dyDescent="0.45">
      <c r="A3">
        <v>13</v>
      </c>
    </row>
    <row r="4" spans="1:8" x14ac:dyDescent="0.45">
      <c r="A4">
        <v>14</v>
      </c>
    </row>
    <row r="5" spans="1:8" x14ac:dyDescent="0.45">
      <c r="A5">
        <v>14</v>
      </c>
    </row>
    <row r="6" spans="1:8" x14ac:dyDescent="0.45">
      <c r="A6">
        <v>15</v>
      </c>
    </row>
    <row r="7" spans="1:8" x14ac:dyDescent="0.45">
      <c r="A7">
        <v>15</v>
      </c>
    </row>
    <row r="8" spans="1:8" x14ac:dyDescent="0.45">
      <c r="A8">
        <v>16</v>
      </c>
    </row>
    <row r="9" spans="1:8" x14ac:dyDescent="0.45">
      <c r="A9">
        <v>16</v>
      </c>
    </row>
    <row r="10" spans="1:8" x14ac:dyDescent="0.45">
      <c r="A10">
        <v>17</v>
      </c>
    </row>
    <row r="11" spans="1:8" x14ac:dyDescent="0.45">
      <c r="A11">
        <v>18</v>
      </c>
    </row>
    <row r="12" spans="1:8" x14ac:dyDescent="0.45">
      <c r="A12">
        <v>45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D2406-B97F-4982-AAEA-77EACB101B09}">
  <dimension ref="A1:C2"/>
  <sheetViews>
    <sheetView zoomScale="130" zoomScaleNormal="130" workbookViewId="0"/>
  </sheetViews>
  <sheetFormatPr defaultRowHeight="14.25" x14ac:dyDescent="0.45"/>
  <cols>
    <col min="2" max="2" width="44.1328125" bestFit="1" customWidth="1"/>
    <col min="3" max="3" width="70.33203125" bestFit="1" customWidth="1"/>
  </cols>
  <sheetData>
    <row r="1" spans="1:3" x14ac:dyDescent="0.45">
      <c r="A1" t="s">
        <v>22</v>
      </c>
      <c r="B1" t="s">
        <v>27</v>
      </c>
      <c r="C1" t="s">
        <v>24</v>
      </c>
    </row>
    <row r="2" spans="1:3" x14ac:dyDescent="0.45">
      <c r="A2" t="s">
        <v>23</v>
      </c>
      <c r="B2" t="s">
        <v>26</v>
      </c>
      <c r="C2" t="s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F226F-F74E-4DBD-A9D1-E6991F50C51F}">
  <dimension ref="A1:D6"/>
  <sheetViews>
    <sheetView zoomScale="190" zoomScaleNormal="190" workbookViewId="0"/>
  </sheetViews>
  <sheetFormatPr defaultRowHeight="14.25" x14ac:dyDescent="0.45"/>
  <cols>
    <col min="1" max="1" width="13.265625" bestFit="1" customWidth="1"/>
    <col min="2" max="2" width="13.1328125" bestFit="1" customWidth="1"/>
    <col min="3" max="3" width="15.6640625" bestFit="1" customWidth="1"/>
    <col min="4" max="4" width="17.59765625" bestFit="1" customWidth="1"/>
  </cols>
  <sheetData>
    <row r="1" spans="1:4" x14ac:dyDescent="0.45">
      <c r="A1" t="s">
        <v>29</v>
      </c>
      <c r="B1" t="s">
        <v>35</v>
      </c>
      <c r="C1" t="s">
        <v>37</v>
      </c>
      <c r="D1" t="s">
        <v>38</v>
      </c>
    </row>
    <row r="2" spans="1:4" x14ac:dyDescent="0.45">
      <c r="A2" t="s">
        <v>30</v>
      </c>
      <c r="B2">
        <v>19871</v>
      </c>
      <c r="C2">
        <v>5</v>
      </c>
      <c r="D2">
        <v>20220130</v>
      </c>
    </row>
    <row r="3" spans="1:4" x14ac:dyDescent="0.45">
      <c r="A3" t="s">
        <v>31</v>
      </c>
      <c r="B3">
        <v>33712</v>
      </c>
      <c r="C3">
        <v>9</v>
      </c>
      <c r="D3">
        <v>20240518</v>
      </c>
    </row>
    <row r="4" spans="1:4" x14ac:dyDescent="0.45">
      <c r="A4" t="s">
        <v>32</v>
      </c>
      <c r="B4" t="s">
        <v>36</v>
      </c>
      <c r="C4">
        <v>7</v>
      </c>
      <c r="D4">
        <v>20200907</v>
      </c>
    </row>
    <row r="5" spans="1:4" x14ac:dyDescent="0.45">
      <c r="A5" t="s">
        <v>33</v>
      </c>
      <c r="B5">
        <v>44851</v>
      </c>
      <c r="C5">
        <v>2.8</v>
      </c>
      <c r="D5">
        <v>20230322</v>
      </c>
    </row>
    <row r="6" spans="1:4" x14ac:dyDescent="0.45">
      <c r="A6" t="s">
        <v>34</v>
      </c>
      <c r="B6">
        <v>74621</v>
      </c>
      <c r="C6">
        <v>9</v>
      </c>
      <c r="D6">
        <v>20221113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6BD05-B2F4-48C5-9090-DB72A6E7AFA1}">
  <dimension ref="A1:B6"/>
  <sheetViews>
    <sheetView zoomScale="310" zoomScaleNormal="310" workbookViewId="0"/>
  </sheetViews>
  <sheetFormatPr defaultRowHeight="14.25" x14ac:dyDescent="0.45"/>
  <cols>
    <col min="1" max="1" width="9.86328125" customWidth="1"/>
    <col min="2" max="2" width="10.3984375" bestFit="1" customWidth="1"/>
  </cols>
  <sheetData>
    <row r="1" spans="1:2" x14ac:dyDescent="0.45">
      <c r="A1" t="s">
        <v>40</v>
      </c>
      <c r="B1" t="s">
        <v>41</v>
      </c>
    </row>
    <row r="2" spans="1:2" x14ac:dyDescent="0.45">
      <c r="A2">
        <v>1</v>
      </c>
      <c r="B2" t="s">
        <v>42</v>
      </c>
    </row>
    <row r="3" spans="1:2" x14ac:dyDescent="0.45">
      <c r="A3">
        <v>1</v>
      </c>
      <c r="B3" t="s">
        <v>43</v>
      </c>
    </row>
    <row r="4" spans="1:2" x14ac:dyDescent="0.45">
      <c r="A4">
        <v>2</v>
      </c>
      <c r="B4" t="s">
        <v>43</v>
      </c>
    </row>
    <row r="5" spans="1:2" x14ac:dyDescent="0.45">
      <c r="A5">
        <v>3</v>
      </c>
      <c r="B5" t="s">
        <v>44</v>
      </c>
    </row>
    <row r="6" spans="1:2" x14ac:dyDescent="0.45">
      <c r="A6">
        <v>3</v>
      </c>
      <c r="B6" t="s">
        <v>44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665CA-CAE7-4BA8-B851-28F40AB874C5}">
  <dimension ref="A1:A5"/>
  <sheetViews>
    <sheetView zoomScale="205" zoomScaleNormal="205" workbookViewId="0"/>
  </sheetViews>
  <sheetFormatPr defaultRowHeight="14.25" x14ac:dyDescent="0.45"/>
  <cols>
    <col min="1" max="1" width="18.19921875" bestFit="1" customWidth="1"/>
  </cols>
  <sheetData>
    <row r="1" spans="1:1" x14ac:dyDescent="0.45">
      <c r="A1" t="s">
        <v>45</v>
      </c>
    </row>
    <row r="2" spans="1:1" x14ac:dyDescent="0.45">
      <c r="A2">
        <v>1000</v>
      </c>
    </row>
    <row r="3" spans="1:1" x14ac:dyDescent="0.45">
      <c r="A3">
        <v>800</v>
      </c>
    </row>
    <row r="5" spans="1:1" x14ac:dyDescent="0.45">
      <c r="A5">
        <v>450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D62FF-5A32-46D4-AE27-C75B26BC59CC}">
  <dimension ref="A1:E5"/>
  <sheetViews>
    <sheetView zoomScale="190" zoomScaleNormal="190" workbookViewId="0"/>
  </sheetViews>
  <sheetFormatPr defaultRowHeight="14.25" x14ac:dyDescent="0.45"/>
  <cols>
    <col min="1" max="1" width="9.86328125" customWidth="1"/>
    <col min="4" max="4" width="16.9296875" bestFit="1" customWidth="1"/>
    <col min="5" max="5" width="15.59765625" bestFit="1" customWidth="1"/>
  </cols>
  <sheetData>
    <row r="1" spans="1:5" x14ac:dyDescent="0.45">
      <c r="A1" t="s">
        <v>48</v>
      </c>
      <c r="B1" t="s">
        <v>45</v>
      </c>
      <c r="D1" t="s">
        <v>53</v>
      </c>
      <c r="E1" t="s">
        <v>54</v>
      </c>
    </row>
    <row r="2" spans="1:5" x14ac:dyDescent="0.45">
      <c r="A2" t="s">
        <v>49</v>
      </c>
      <c r="B2">
        <v>3000</v>
      </c>
      <c r="D2" t="s">
        <v>50</v>
      </c>
      <c r="E2">
        <v>2000</v>
      </c>
    </row>
    <row r="3" spans="1:5" x14ac:dyDescent="0.45">
      <c r="A3" t="s">
        <v>50</v>
      </c>
      <c r="D3" t="s">
        <v>51</v>
      </c>
      <c r="E3">
        <v>5555</v>
      </c>
    </row>
    <row r="4" spans="1:5" x14ac:dyDescent="0.45">
      <c r="A4" t="s">
        <v>51</v>
      </c>
      <c r="B4">
        <v>5000</v>
      </c>
    </row>
    <row r="5" spans="1:5" x14ac:dyDescent="0.45">
      <c r="A5" t="s">
        <v>52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9B4FE-D8F9-447A-8BFA-48077EF0FC6C}">
  <dimension ref="A1:D6"/>
  <sheetViews>
    <sheetView zoomScale="160" zoomScaleNormal="160" workbookViewId="0"/>
  </sheetViews>
  <sheetFormatPr defaultColWidth="10.73046875" defaultRowHeight="14.25" x14ac:dyDescent="0.45"/>
  <cols>
    <col min="1" max="4" width="10.9296875" customWidth="1"/>
  </cols>
  <sheetData>
    <row r="1" spans="1:4" x14ac:dyDescent="0.45">
      <c r="A1" t="s">
        <v>55</v>
      </c>
      <c r="B1" t="s">
        <v>48</v>
      </c>
      <c r="C1" t="s">
        <v>56</v>
      </c>
      <c r="D1" t="s">
        <v>45</v>
      </c>
    </row>
    <row r="2" spans="1:4" x14ac:dyDescent="0.45">
      <c r="A2" t="s">
        <v>57</v>
      </c>
      <c r="B2" t="s">
        <v>50</v>
      </c>
      <c r="C2" t="s">
        <v>58</v>
      </c>
      <c r="D2">
        <v>2128</v>
      </c>
    </row>
    <row r="3" spans="1:4" x14ac:dyDescent="0.45">
      <c r="A3" t="s">
        <v>57</v>
      </c>
      <c r="B3" t="s">
        <v>49</v>
      </c>
      <c r="C3" t="s">
        <v>58</v>
      </c>
      <c r="D3">
        <v>3128</v>
      </c>
    </row>
    <row r="4" spans="1:4" x14ac:dyDescent="0.45">
      <c r="A4" t="s">
        <v>57</v>
      </c>
      <c r="B4" t="s">
        <v>49</v>
      </c>
      <c r="C4" t="s">
        <v>62</v>
      </c>
      <c r="D4">
        <v>3256</v>
      </c>
    </row>
    <row r="5" spans="1:4" x14ac:dyDescent="0.45">
      <c r="A5" t="s">
        <v>57</v>
      </c>
      <c r="B5" t="s">
        <v>52</v>
      </c>
      <c r="C5" t="s">
        <v>58</v>
      </c>
      <c r="D5" t="s">
        <v>59</v>
      </c>
    </row>
    <row r="6" spans="1:4" x14ac:dyDescent="0.45">
      <c r="A6" t="s">
        <v>61</v>
      </c>
      <c r="B6" t="s">
        <v>60</v>
      </c>
      <c r="C6" t="s">
        <v>58</v>
      </c>
      <c r="D6">
        <v>1128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5AFAE-21AB-4368-B591-562574A16A56}">
  <dimension ref="A1:I6"/>
  <sheetViews>
    <sheetView zoomScale="160" zoomScaleNormal="160" workbookViewId="0"/>
  </sheetViews>
  <sheetFormatPr defaultRowHeight="14.25" x14ac:dyDescent="0.45"/>
  <cols>
    <col min="1" max="4" width="10.796875" customWidth="1"/>
    <col min="5" max="5" width="9.06640625" customWidth="1"/>
    <col min="6" max="9" width="9.53125" customWidth="1"/>
  </cols>
  <sheetData>
    <row r="1" spans="1:9" x14ac:dyDescent="0.45">
      <c r="A1" t="s">
        <v>55</v>
      </c>
      <c r="B1" t="s">
        <v>48</v>
      </c>
      <c r="C1" t="s">
        <v>56</v>
      </c>
      <c r="D1" t="s">
        <v>45</v>
      </c>
      <c r="F1" t="s">
        <v>55</v>
      </c>
      <c r="G1" t="s">
        <v>48</v>
      </c>
      <c r="H1" t="s">
        <v>56</v>
      </c>
      <c r="I1" t="s">
        <v>45</v>
      </c>
    </row>
    <row r="2" spans="1:9" x14ac:dyDescent="0.45">
      <c r="A2" t="s">
        <v>57</v>
      </c>
      <c r="B2" t="s">
        <v>50</v>
      </c>
      <c r="C2" t="s">
        <v>58</v>
      </c>
      <c r="D2">
        <v>2128</v>
      </c>
      <c r="F2" t="s">
        <v>57</v>
      </c>
      <c r="G2" t="s">
        <v>50</v>
      </c>
      <c r="H2" t="s">
        <v>58</v>
      </c>
      <c r="I2">
        <v>2222</v>
      </c>
    </row>
    <row r="3" spans="1:9" x14ac:dyDescent="0.45">
      <c r="A3" t="s">
        <v>57</v>
      </c>
      <c r="B3" t="s">
        <v>49</v>
      </c>
      <c r="C3" t="s">
        <v>58</v>
      </c>
      <c r="D3">
        <v>3128</v>
      </c>
      <c r="F3" t="s">
        <v>57</v>
      </c>
      <c r="G3" t="s">
        <v>52</v>
      </c>
      <c r="H3" t="s">
        <v>62</v>
      </c>
      <c r="I3">
        <v>4256</v>
      </c>
    </row>
    <row r="4" spans="1:9" x14ac:dyDescent="0.45">
      <c r="A4" t="s">
        <v>57</v>
      </c>
      <c r="B4" t="s">
        <v>49</v>
      </c>
      <c r="C4" t="s">
        <v>62</v>
      </c>
      <c r="D4">
        <v>3256</v>
      </c>
      <c r="F4" t="s">
        <v>57</v>
      </c>
      <c r="G4" t="s">
        <v>52</v>
      </c>
      <c r="H4" t="s">
        <v>65</v>
      </c>
      <c r="I4">
        <v>4512</v>
      </c>
    </row>
    <row r="5" spans="1:9" x14ac:dyDescent="0.45">
      <c r="A5" t="s">
        <v>57</v>
      </c>
      <c r="B5" t="s">
        <v>52</v>
      </c>
      <c r="C5" t="s">
        <v>58</v>
      </c>
      <c r="D5" t="s">
        <v>59</v>
      </c>
    </row>
    <row r="6" spans="1:9" x14ac:dyDescent="0.45">
      <c r="A6" t="s">
        <v>61</v>
      </c>
      <c r="B6" t="s">
        <v>60</v>
      </c>
      <c r="C6" t="s">
        <v>58</v>
      </c>
      <c r="D6">
        <v>1128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60F94-F814-4116-B2F0-5D85D77FC6A0}">
  <dimension ref="A1:F6"/>
  <sheetViews>
    <sheetView zoomScale="205" zoomScaleNormal="205" workbookViewId="0"/>
  </sheetViews>
  <sheetFormatPr defaultColWidth="10.73046875" defaultRowHeight="14.25" x14ac:dyDescent="0.45"/>
  <cols>
    <col min="1" max="1" width="11.9296875" customWidth="1"/>
    <col min="2" max="4" width="10.9296875" customWidth="1"/>
  </cols>
  <sheetData>
    <row r="1" spans="1:6" x14ac:dyDescent="0.45">
      <c r="A1" t="s">
        <v>198</v>
      </c>
      <c r="B1" t="s">
        <v>70</v>
      </c>
      <c r="D1" s="123" t="s">
        <v>197</v>
      </c>
      <c r="E1" s="123"/>
      <c r="F1" s="123"/>
    </row>
    <row r="2" spans="1:6" x14ac:dyDescent="0.45">
      <c r="A2">
        <v>100</v>
      </c>
      <c r="B2" s="16">
        <v>1000</v>
      </c>
    </row>
    <row r="3" spans="1:6" x14ac:dyDescent="0.45">
      <c r="A3">
        <v>200</v>
      </c>
      <c r="B3" s="16">
        <v>2000</v>
      </c>
      <c r="D3" s="15" t="s">
        <v>67</v>
      </c>
      <c r="F3" s="15" t="s">
        <v>68</v>
      </c>
    </row>
    <row r="4" spans="1:6" x14ac:dyDescent="0.45">
      <c r="A4">
        <v>300</v>
      </c>
      <c r="B4" s="16">
        <v>3000</v>
      </c>
    </row>
    <row r="5" spans="1:6" x14ac:dyDescent="0.45">
      <c r="A5">
        <v>400</v>
      </c>
      <c r="B5" s="16">
        <v>4000</v>
      </c>
    </row>
    <row r="6" spans="1:6" x14ac:dyDescent="0.45">
      <c r="A6">
        <v>500</v>
      </c>
      <c r="B6" t="s">
        <v>69</v>
      </c>
    </row>
  </sheetData>
  <mergeCells count="1">
    <mergeCell ref="D1:F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EC9C3-CEDF-4776-8CCF-9291FEE66E60}">
  <dimension ref="A1:E9"/>
  <sheetViews>
    <sheetView zoomScale="160" zoomScaleNormal="160" workbookViewId="0"/>
  </sheetViews>
  <sheetFormatPr defaultRowHeight="14.25" x14ac:dyDescent="0.45"/>
  <cols>
    <col min="1" max="1" width="9.86328125" customWidth="1"/>
    <col min="4" max="4" width="16.3984375" bestFit="1" customWidth="1"/>
  </cols>
  <sheetData>
    <row r="1" spans="1:5" ht="14.65" thickBot="1" x14ac:dyDescent="0.5">
      <c r="A1" t="s">
        <v>166</v>
      </c>
      <c r="D1" s="124" t="s">
        <v>165</v>
      </c>
      <c r="E1" s="124"/>
    </row>
    <row r="2" spans="1:5" x14ac:dyDescent="0.45">
      <c r="D2" s="29" t="s">
        <v>167</v>
      </c>
      <c r="E2" s="18"/>
    </row>
    <row r="3" spans="1:5" x14ac:dyDescent="0.45">
      <c r="D3" s="30" t="s">
        <v>168</v>
      </c>
      <c r="E3" s="20"/>
    </row>
    <row r="4" spans="1:5" x14ac:dyDescent="0.45">
      <c r="D4" s="30" t="s">
        <v>169</v>
      </c>
      <c r="E4" s="20"/>
    </row>
    <row r="5" spans="1:5" x14ac:dyDescent="0.45">
      <c r="D5" s="30" t="s">
        <v>170</v>
      </c>
      <c r="E5" s="20"/>
    </row>
    <row r="6" spans="1:5" x14ac:dyDescent="0.45">
      <c r="D6" s="30" t="s">
        <v>171</v>
      </c>
      <c r="E6" s="20"/>
    </row>
    <row r="7" spans="1:5" x14ac:dyDescent="0.45">
      <c r="D7" s="30" t="s">
        <v>172</v>
      </c>
      <c r="E7" s="20"/>
    </row>
    <row r="8" spans="1:5" x14ac:dyDescent="0.45">
      <c r="D8" s="30" t="s">
        <v>173</v>
      </c>
      <c r="E8" s="20"/>
    </row>
    <row r="9" spans="1:5" ht="14.65" thickBot="1" x14ac:dyDescent="0.5">
      <c r="D9" s="31" t="s">
        <v>174</v>
      </c>
      <c r="E9" s="14"/>
    </row>
  </sheetData>
  <mergeCells count="1">
    <mergeCell ref="D1:E1"/>
  </mergeCell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69F0F-9B78-4336-A44B-AC493B57128D}">
  <dimension ref="A1:C4"/>
  <sheetViews>
    <sheetView zoomScale="175" zoomScaleNormal="175" workbookViewId="0"/>
  </sheetViews>
  <sheetFormatPr defaultColWidth="12.9296875" defaultRowHeight="14.25" x14ac:dyDescent="0.45"/>
  <sheetData>
    <row r="1" spans="1:3" x14ac:dyDescent="0.45">
      <c r="A1" t="s">
        <v>195</v>
      </c>
      <c r="B1" t="s">
        <v>196</v>
      </c>
      <c r="C1" t="s">
        <v>45</v>
      </c>
    </row>
    <row r="2" spans="1:3" x14ac:dyDescent="0.45">
      <c r="A2" s="51">
        <v>1500</v>
      </c>
      <c r="B2">
        <v>2010</v>
      </c>
      <c r="C2" s="51">
        <v>300000</v>
      </c>
    </row>
    <row r="3" spans="1:3" x14ac:dyDescent="0.45">
      <c r="A3" s="51">
        <v>2000</v>
      </c>
      <c r="B3">
        <v>2005</v>
      </c>
      <c r="C3" s="51">
        <v>350000</v>
      </c>
    </row>
    <row r="4" spans="1:3" x14ac:dyDescent="0.45">
      <c r="A4" s="51">
        <v>1200</v>
      </c>
      <c r="B4">
        <v>2000</v>
      </c>
      <c r="C4" s="51">
        <v>250000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82844-CA68-495F-9E92-CB0F23C775BA}">
  <dimension ref="A1:D6"/>
  <sheetViews>
    <sheetView zoomScale="250" zoomScaleNormal="250" workbookViewId="0"/>
  </sheetViews>
  <sheetFormatPr defaultRowHeight="14.25" x14ac:dyDescent="0.45"/>
  <cols>
    <col min="1" max="1" width="9.86328125" customWidth="1"/>
    <col min="2" max="2" width="10.86328125" bestFit="1" customWidth="1"/>
    <col min="3" max="3" width="16.3984375" bestFit="1" customWidth="1"/>
    <col min="4" max="4" width="19.3984375" bestFit="1" customWidth="1"/>
  </cols>
  <sheetData>
    <row r="1" spans="1:4" x14ac:dyDescent="0.45">
      <c r="A1" t="s">
        <v>8</v>
      </c>
      <c r="B1" t="s">
        <v>72</v>
      </c>
      <c r="C1" t="s">
        <v>73</v>
      </c>
      <c r="D1" t="s">
        <v>74</v>
      </c>
    </row>
    <row r="2" spans="1:4" x14ac:dyDescent="0.45">
      <c r="A2">
        <v>20</v>
      </c>
      <c r="B2" s="16">
        <v>30000</v>
      </c>
    </row>
    <row r="3" spans="1:4" x14ac:dyDescent="0.45">
      <c r="A3">
        <v>25</v>
      </c>
      <c r="B3" s="16">
        <v>50000</v>
      </c>
    </row>
    <row r="4" spans="1:4" x14ac:dyDescent="0.45">
      <c r="A4">
        <v>30</v>
      </c>
      <c r="B4" s="16">
        <v>70000</v>
      </c>
    </row>
    <row r="5" spans="1:4" x14ac:dyDescent="0.45">
      <c r="A5">
        <v>40</v>
      </c>
      <c r="B5" s="16">
        <v>120000</v>
      </c>
    </row>
    <row r="6" spans="1:4" x14ac:dyDescent="0.45">
      <c r="A6">
        <v>50</v>
      </c>
      <c r="B6" s="16">
        <v>200000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57529-3ECC-42D4-86AB-0CA900804E08}">
  <dimension ref="A1:D6"/>
  <sheetViews>
    <sheetView zoomScale="250" zoomScaleNormal="250" workbookViewId="0"/>
  </sheetViews>
  <sheetFormatPr defaultRowHeight="14.25" x14ac:dyDescent="0.45"/>
  <cols>
    <col min="1" max="1" width="9.86328125" customWidth="1"/>
    <col min="2" max="2" width="10.86328125" bestFit="1" customWidth="1"/>
    <col min="3" max="3" width="16.3984375" bestFit="1" customWidth="1"/>
    <col min="4" max="4" width="19.3984375" bestFit="1" customWidth="1"/>
  </cols>
  <sheetData>
    <row r="1" spans="1:4" x14ac:dyDescent="0.45">
      <c r="A1" t="s">
        <v>8</v>
      </c>
      <c r="B1" t="s">
        <v>72</v>
      </c>
      <c r="C1" t="s">
        <v>76</v>
      </c>
      <c r="D1" t="s">
        <v>77</v>
      </c>
    </row>
    <row r="2" spans="1:4" x14ac:dyDescent="0.45">
      <c r="A2">
        <v>20</v>
      </c>
      <c r="B2" s="16">
        <v>30000</v>
      </c>
    </row>
    <row r="3" spans="1:4" x14ac:dyDescent="0.45">
      <c r="A3">
        <v>25</v>
      </c>
      <c r="B3" s="16">
        <v>50000</v>
      </c>
    </row>
    <row r="4" spans="1:4" x14ac:dyDescent="0.45">
      <c r="A4">
        <v>30</v>
      </c>
      <c r="B4" s="16">
        <v>70000</v>
      </c>
    </row>
    <row r="5" spans="1:4" x14ac:dyDescent="0.45">
      <c r="A5">
        <v>40</v>
      </c>
      <c r="B5" s="16">
        <v>120000</v>
      </c>
    </row>
    <row r="6" spans="1:4" x14ac:dyDescent="0.45">
      <c r="A6">
        <v>50</v>
      </c>
      <c r="B6" s="16">
        <v>200000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F7187-6085-4731-B7AB-F655B5290AEF}">
  <dimension ref="A1:A5"/>
  <sheetViews>
    <sheetView zoomScale="400" zoomScaleNormal="400" workbookViewId="0"/>
  </sheetViews>
  <sheetFormatPr defaultRowHeight="14.25" x14ac:dyDescent="0.45"/>
  <sheetData>
    <row r="1" spans="1:1" x14ac:dyDescent="0.45">
      <c r="A1" t="s">
        <v>85</v>
      </c>
    </row>
    <row r="2" spans="1:1" x14ac:dyDescent="0.45">
      <c r="A2" t="s">
        <v>79</v>
      </c>
    </row>
    <row r="3" spans="1:1" x14ac:dyDescent="0.45">
      <c r="A3" t="s">
        <v>80</v>
      </c>
    </row>
    <row r="4" spans="1:1" x14ac:dyDescent="0.45">
      <c r="A4" t="s">
        <v>81</v>
      </c>
    </row>
    <row r="5" spans="1:1" x14ac:dyDescent="0.45">
      <c r="A5" t="s">
        <v>80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0863B-7AC4-4BF5-A669-8AF20570BAF1}">
  <dimension ref="A1:A5"/>
  <sheetViews>
    <sheetView zoomScale="385" zoomScaleNormal="385" workbookViewId="0"/>
  </sheetViews>
  <sheetFormatPr defaultRowHeight="14.25" x14ac:dyDescent="0.45"/>
  <sheetData>
    <row r="1" spans="1:1" x14ac:dyDescent="0.45">
      <c r="A1" t="s">
        <v>55</v>
      </c>
    </row>
    <row r="2" spans="1:1" x14ac:dyDescent="0.45">
      <c r="A2" t="s">
        <v>57</v>
      </c>
    </row>
    <row r="3" spans="1:1" x14ac:dyDescent="0.45">
      <c r="A3" t="s">
        <v>61</v>
      </c>
    </row>
    <row r="4" spans="1:1" x14ac:dyDescent="0.45">
      <c r="A4" t="s">
        <v>83</v>
      </c>
    </row>
    <row r="5" spans="1:1" x14ac:dyDescent="0.45">
      <c r="A5" t="s">
        <v>84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E224E-46B8-4DE7-871C-7001EE9FD365}">
  <dimension ref="A1:A7"/>
  <sheetViews>
    <sheetView zoomScale="205" zoomScaleNormal="205" workbookViewId="0"/>
  </sheetViews>
  <sheetFormatPr defaultRowHeight="14.25" x14ac:dyDescent="0.45"/>
  <sheetData>
    <row r="1" spans="1:1" x14ac:dyDescent="0.45">
      <c r="A1" t="s">
        <v>89</v>
      </c>
    </row>
    <row r="2" spans="1:1" x14ac:dyDescent="0.45">
      <c r="A2" t="s">
        <v>86</v>
      </c>
    </row>
    <row r="3" spans="1:1" x14ac:dyDescent="0.45">
      <c r="A3" t="s">
        <v>87</v>
      </c>
    </row>
    <row r="4" spans="1:1" x14ac:dyDescent="0.45">
      <c r="A4" t="s">
        <v>88</v>
      </c>
    </row>
    <row r="5" spans="1:1" x14ac:dyDescent="0.45">
      <c r="A5" t="s">
        <v>86</v>
      </c>
    </row>
    <row r="6" spans="1:1" x14ac:dyDescent="0.45">
      <c r="A6" t="s">
        <v>88</v>
      </c>
    </row>
    <row r="7" spans="1:1" x14ac:dyDescent="0.45">
      <c r="A7" t="s">
        <v>86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A2EFA-3A8D-433C-A63F-8C25164EB1C3}">
  <dimension ref="A1:C1"/>
  <sheetViews>
    <sheetView zoomScale="325" zoomScaleNormal="325" workbookViewId="0"/>
  </sheetViews>
  <sheetFormatPr defaultRowHeight="14.25" x14ac:dyDescent="0.45"/>
  <cols>
    <col min="1" max="1" width="15.59765625" customWidth="1"/>
    <col min="3" max="3" width="15.59765625" customWidth="1"/>
  </cols>
  <sheetData>
    <row r="1" spans="1:3" x14ac:dyDescent="0.45">
      <c r="A1" t="s">
        <v>92</v>
      </c>
      <c r="C1" t="s">
        <v>93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496C9-DDDD-4D10-8631-EC0194DC96D2}">
  <dimension ref="A1:A10"/>
  <sheetViews>
    <sheetView zoomScale="205" zoomScaleNormal="205" workbookViewId="0"/>
  </sheetViews>
  <sheetFormatPr defaultRowHeight="14.25" x14ac:dyDescent="0.45"/>
  <sheetData>
    <row r="1" spans="1:1" x14ac:dyDescent="0.45">
      <c r="A1" t="s">
        <v>8</v>
      </c>
    </row>
    <row r="2" spans="1:1" x14ac:dyDescent="0.45">
      <c r="A2">
        <v>5</v>
      </c>
    </row>
    <row r="3" spans="1:1" x14ac:dyDescent="0.45">
      <c r="A3">
        <v>7</v>
      </c>
    </row>
    <row r="4" spans="1:1" x14ac:dyDescent="0.45">
      <c r="A4">
        <v>8</v>
      </c>
    </row>
    <row r="5" spans="1:1" x14ac:dyDescent="0.45">
      <c r="A5">
        <v>15</v>
      </c>
    </row>
    <row r="6" spans="1:1" x14ac:dyDescent="0.45">
      <c r="A6">
        <v>18</v>
      </c>
    </row>
    <row r="7" spans="1:1" x14ac:dyDescent="0.45">
      <c r="A7">
        <v>22</v>
      </c>
    </row>
    <row r="8" spans="1:1" x14ac:dyDescent="0.45">
      <c r="A8">
        <v>30</v>
      </c>
    </row>
    <row r="9" spans="1:1" x14ac:dyDescent="0.45">
      <c r="A9">
        <v>60</v>
      </c>
    </row>
    <row r="10" spans="1:1" x14ac:dyDescent="0.45">
      <c r="A10">
        <v>75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A8148-6078-4734-AF08-D46FA9470292}">
  <dimension ref="A1:I10"/>
  <sheetViews>
    <sheetView zoomScale="160" zoomScaleNormal="160" workbookViewId="0"/>
  </sheetViews>
  <sheetFormatPr defaultRowHeight="14.25" x14ac:dyDescent="0.45"/>
  <cols>
    <col min="7" max="9" width="12.6640625" customWidth="1"/>
  </cols>
  <sheetData>
    <row r="1" spans="1:9" x14ac:dyDescent="0.45">
      <c r="A1" t="s">
        <v>8</v>
      </c>
      <c r="B1" t="s">
        <v>104</v>
      </c>
      <c r="D1" s="17" t="s">
        <v>96</v>
      </c>
      <c r="E1" s="18"/>
      <c r="G1" s="15" t="s">
        <v>101</v>
      </c>
      <c r="H1" s="15" t="s">
        <v>102</v>
      </c>
      <c r="I1" s="15" t="s">
        <v>103</v>
      </c>
    </row>
    <row r="2" spans="1:9" x14ac:dyDescent="0.45">
      <c r="A2">
        <v>5</v>
      </c>
      <c r="B2" t="str" cm="1">
        <f t="array" aca="1" ref="B2" ca="1">_xlfn.XLOOKUP(IFERROR(IF(INDIRECT("H"&amp;$E$4+1)="","",LOOKUP(DiscretizationEqualWidth_Table[[#This Row],[Age]],$H$2:$H$10)),""),$H$2:$H$10,$G$2:$G$10)</f>
        <v/>
      </c>
      <c r="D2" s="19" t="s">
        <v>97</v>
      </c>
      <c r="E2" s="20"/>
      <c r="G2" t="str">
        <f>IF(ROW()&lt;=$E$4+1,_xlfn.CONCAT("Bin ",ROW()-1),"")</f>
        <v/>
      </c>
      <c r="H2" t="str">
        <f>IF(OR($E$1="",ROW()&gt;$E$4+1),"",IF(ROW()=2,$E$1,H1+$E$5))</f>
        <v/>
      </c>
      <c r="I2" t="str">
        <f>IF(ROW()=$E$4+1,$E$2,IF(OR(H2="",H3=""),"",IF(ROW()&gt;$E$4+1,"",H3-0.01)))</f>
        <v/>
      </c>
    </row>
    <row r="3" spans="1:9" x14ac:dyDescent="0.45">
      <c r="A3">
        <v>7</v>
      </c>
      <c r="B3" t="str" cm="1">
        <f t="array" aca="1" ref="B3" ca="1">_xlfn.XLOOKUP(IFERROR(IF(INDIRECT("H"&amp;$E$4+1)="","",LOOKUP(DiscretizationEqualWidth_Table[[#This Row],[Age]],$H$2:$H$10)),""),$H$2:$H$10,$G$2:$G$10)</f>
        <v/>
      </c>
      <c r="D3" s="19" t="s">
        <v>98</v>
      </c>
      <c r="E3" s="20"/>
      <c r="G3" t="str">
        <f t="shared" ref="G3:G9" si="0">IF(ROW()&lt;=$E$4+1,_xlfn.CONCAT("Bin ",ROW()-1),"")</f>
        <v/>
      </c>
      <c r="H3" t="str">
        <f t="shared" ref="H3:H9" si="1">IF(OR($E$1="",ROW()&gt;$E$4+1),"",IF(ROW()=2,$E$1,H2+$E$5))</f>
        <v/>
      </c>
      <c r="I3" t="str">
        <f t="shared" ref="I3:I9" si="2">IF(ROW()=$E$4+1,$E$2,IF(OR(H3="",H4=""),"",IF(ROW()&gt;$E$4+1,"",H4-0.01)))</f>
        <v/>
      </c>
    </row>
    <row r="4" spans="1:9" x14ac:dyDescent="0.45">
      <c r="A4">
        <v>8</v>
      </c>
      <c r="B4" t="str" cm="1">
        <f t="array" aca="1" ref="B4" ca="1">_xlfn.XLOOKUP(IFERROR(IF(INDIRECT("H"&amp;$E$4+1)="","",LOOKUP(DiscretizationEqualWidth_Table[[#This Row],[Age]],$H$2:$H$10)),""),$H$2:$H$10,$G$2:$G$10)</f>
        <v/>
      </c>
      <c r="D4" s="19" t="s">
        <v>99</v>
      </c>
      <c r="E4" s="20"/>
      <c r="G4" t="str">
        <f t="shared" si="0"/>
        <v/>
      </c>
      <c r="H4" t="str">
        <f t="shared" si="1"/>
        <v/>
      </c>
      <c r="I4" t="str">
        <f t="shared" si="2"/>
        <v/>
      </c>
    </row>
    <row r="5" spans="1:9" ht="14.65" thickBot="1" x14ac:dyDescent="0.5">
      <c r="A5">
        <v>15</v>
      </c>
      <c r="B5" t="str" cm="1">
        <f t="array" aca="1" ref="B5" ca="1">_xlfn.XLOOKUP(IFERROR(IF(INDIRECT("H"&amp;$E$4+1)="","",LOOKUP(DiscretizationEqualWidth_Table[[#This Row],[Age]],$H$2:$H$10)),""),$H$2:$H$10,$G$2:$G$10)</f>
        <v/>
      </c>
      <c r="D5" s="21" t="s">
        <v>100</v>
      </c>
      <c r="E5" s="14"/>
      <c r="G5" t="str">
        <f t="shared" si="0"/>
        <v/>
      </c>
      <c r="H5" t="str">
        <f t="shared" si="1"/>
        <v/>
      </c>
      <c r="I5" t="str">
        <f t="shared" si="2"/>
        <v/>
      </c>
    </row>
    <row r="6" spans="1:9" x14ac:dyDescent="0.45">
      <c r="A6">
        <v>18</v>
      </c>
      <c r="B6" t="str" cm="1">
        <f t="array" aca="1" ref="B6" ca="1">_xlfn.XLOOKUP(IFERROR(IF(INDIRECT("H"&amp;$E$4+1)="","",LOOKUP(DiscretizationEqualWidth_Table[[#This Row],[Age]],$H$2:$H$10)),""),$H$2:$H$10,$G$2:$G$10)</f>
        <v/>
      </c>
      <c r="G6" t="str">
        <f t="shared" si="0"/>
        <v/>
      </c>
      <c r="H6" t="str">
        <f t="shared" si="1"/>
        <v/>
      </c>
      <c r="I6" t="str">
        <f t="shared" si="2"/>
        <v/>
      </c>
    </row>
    <row r="7" spans="1:9" x14ac:dyDescent="0.45">
      <c r="A7">
        <v>22</v>
      </c>
      <c r="B7" t="str" cm="1">
        <f t="array" aca="1" ref="B7" ca="1">_xlfn.XLOOKUP(IFERROR(IF(INDIRECT("H"&amp;$E$4+1)="","",LOOKUP(DiscretizationEqualWidth_Table[[#This Row],[Age]],$H$2:$H$10)),""),$H$2:$H$10,$G$2:$G$10)</f>
        <v/>
      </c>
      <c r="G7" t="str">
        <f t="shared" si="0"/>
        <v/>
      </c>
      <c r="H7" t="str">
        <f t="shared" si="1"/>
        <v/>
      </c>
      <c r="I7" t="str">
        <f t="shared" si="2"/>
        <v/>
      </c>
    </row>
    <row r="8" spans="1:9" x14ac:dyDescent="0.45">
      <c r="A8">
        <v>30</v>
      </c>
      <c r="B8" t="str" cm="1">
        <f t="array" aca="1" ref="B8" ca="1">_xlfn.XLOOKUP(IFERROR(IF(INDIRECT("H"&amp;$E$4+1)="","",LOOKUP(DiscretizationEqualWidth_Table[[#This Row],[Age]],$H$2:$H$10)),""),$H$2:$H$10,$G$2:$G$10)</f>
        <v/>
      </c>
      <c r="G8" t="str">
        <f t="shared" si="0"/>
        <v/>
      </c>
      <c r="H8" t="str">
        <f t="shared" si="1"/>
        <v/>
      </c>
      <c r="I8" t="str">
        <f t="shared" si="2"/>
        <v/>
      </c>
    </row>
    <row r="9" spans="1:9" x14ac:dyDescent="0.45">
      <c r="A9">
        <v>60</v>
      </c>
      <c r="B9" t="str" cm="1">
        <f t="array" aca="1" ref="B9" ca="1">_xlfn.XLOOKUP(IFERROR(IF(INDIRECT("H"&amp;$E$4+1)="","",LOOKUP(DiscretizationEqualWidth_Table[[#This Row],[Age]],$H$2:$H$10)),""),$H$2:$H$10,$G$2:$G$10)</f>
        <v/>
      </c>
      <c r="G9" t="str">
        <f t="shared" si="0"/>
        <v/>
      </c>
      <c r="H9" t="str">
        <f t="shared" si="1"/>
        <v/>
      </c>
      <c r="I9" t="str">
        <f t="shared" si="2"/>
        <v/>
      </c>
    </row>
    <row r="10" spans="1:9" x14ac:dyDescent="0.45">
      <c r="A10">
        <v>75</v>
      </c>
      <c r="B10" t="str" cm="1">
        <f t="array" aca="1" ref="B10" ca="1">_xlfn.XLOOKUP(IFERROR(IF(INDIRECT("H"&amp;$E$4+1)="","",LOOKUP(DiscretizationEqualWidth_Table[[#This Row],[Age]],$H$2:$H$10)),""),$H$2:$H$10,$G$2:$G$10)</f>
        <v/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F3428-EEBF-4DCB-89DE-3D750C7A3E98}">
  <dimension ref="A1:E10"/>
  <sheetViews>
    <sheetView zoomScale="160" zoomScaleNormal="160" workbookViewId="0"/>
  </sheetViews>
  <sheetFormatPr defaultRowHeight="14.25" x14ac:dyDescent="0.45"/>
  <cols>
    <col min="4" max="4" width="13.46484375" bestFit="1" customWidth="1"/>
  </cols>
  <sheetData>
    <row r="1" spans="1:5" x14ac:dyDescent="0.45">
      <c r="A1" t="s">
        <v>8</v>
      </c>
      <c r="B1" t="s">
        <v>104</v>
      </c>
      <c r="D1" s="24" t="s">
        <v>106</v>
      </c>
      <c r="E1" s="20"/>
    </row>
    <row r="2" spans="1:5" ht="14.65" thickBot="1" x14ac:dyDescent="0.5">
      <c r="A2">
        <v>5</v>
      </c>
      <c r="B2" t="str">
        <f t="shared" ref="B2:B10" si="0">IF($E$1="","",ROUNDUP(_xlfn.RANK.EQ(A2,$A$2:$A$10,1)*$E$1/COUNTA($A$2:$A$10),0))</f>
        <v/>
      </c>
    </row>
    <row r="3" spans="1:5" x14ac:dyDescent="0.45">
      <c r="A3">
        <v>7</v>
      </c>
      <c r="B3" t="str">
        <f t="shared" si="0"/>
        <v/>
      </c>
      <c r="D3" s="22" t="s">
        <v>107</v>
      </c>
      <c r="E3" s="18">
        <f>COUNT(DiscretizationEqualFrequency_Table[Age])</f>
        <v>9</v>
      </c>
    </row>
    <row r="4" spans="1:5" ht="14.65" thickBot="1" x14ac:dyDescent="0.5">
      <c r="A4">
        <v>8</v>
      </c>
      <c r="B4" t="str">
        <f t="shared" si="0"/>
        <v/>
      </c>
      <c r="D4" s="23" t="s">
        <v>108</v>
      </c>
      <c r="E4" s="14" t="str">
        <f>IFERROR(E3/E1,"")</f>
        <v/>
      </c>
    </row>
    <row r="5" spans="1:5" x14ac:dyDescent="0.45">
      <c r="A5">
        <v>15</v>
      </c>
      <c r="B5" t="str">
        <f t="shared" si="0"/>
        <v/>
      </c>
    </row>
    <row r="6" spans="1:5" x14ac:dyDescent="0.45">
      <c r="A6">
        <v>18</v>
      </c>
      <c r="B6" t="str">
        <f t="shared" si="0"/>
        <v/>
      </c>
    </row>
    <row r="7" spans="1:5" x14ac:dyDescent="0.45">
      <c r="A7">
        <v>22</v>
      </c>
      <c r="B7" t="str">
        <f t="shared" si="0"/>
        <v/>
      </c>
    </row>
    <row r="8" spans="1:5" x14ac:dyDescent="0.45">
      <c r="A8">
        <v>30</v>
      </c>
      <c r="B8" t="str">
        <f t="shared" si="0"/>
        <v/>
      </c>
    </row>
    <row r="9" spans="1:5" x14ac:dyDescent="0.45">
      <c r="A9">
        <v>60</v>
      </c>
      <c r="B9" t="str">
        <f t="shared" si="0"/>
        <v/>
      </c>
    </row>
    <row r="10" spans="1:5" x14ac:dyDescent="0.45">
      <c r="A10">
        <v>75</v>
      </c>
      <c r="B10" t="str">
        <f t="shared" si="0"/>
        <v/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03B59-07A5-40D6-A01C-9D05645B6E2F}">
  <dimension ref="A1:C3"/>
  <sheetViews>
    <sheetView zoomScale="205" zoomScaleNormal="205" workbookViewId="0"/>
  </sheetViews>
  <sheetFormatPr defaultRowHeight="14.25" x14ac:dyDescent="0.45"/>
  <cols>
    <col min="1" max="1" width="14.53125" bestFit="1" customWidth="1"/>
    <col min="2" max="2" width="19.9296875" bestFit="1" customWidth="1"/>
    <col min="3" max="3" width="16.73046875" bestFit="1" customWidth="1"/>
  </cols>
  <sheetData>
    <row r="1" spans="1:3" x14ac:dyDescent="0.45">
      <c r="A1" t="s">
        <v>114</v>
      </c>
      <c r="B1" t="s">
        <v>110</v>
      </c>
      <c r="C1" t="s">
        <v>111</v>
      </c>
    </row>
    <row r="2" spans="1:3" x14ac:dyDescent="0.45">
      <c r="A2" t="s">
        <v>115</v>
      </c>
      <c r="B2" t="s">
        <v>112</v>
      </c>
      <c r="C2" s="25">
        <v>45766</v>
      </c>
    </row>
    <row r="3" spans="1:3" x14ac:dyDescent="0.45">
      <c r="A3" t="s">
        <v>116</v>
      </c>
      <c r="B3" t="s">
        <v>113</v>
      </c>
      <c r="C3" s="25">
        <v>45529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F2AC8-7846-43BC-B463-1994B0C4324B}">
  <dimension ref="A1:E5"/>
  <sheetViews>
    <sheetView zoomScale="235" zoomScaleNormal="235" workbookViewId="0"/>
  </sheetViews>
  <sheetFormatPr defaultRowHeight="14.25" x14ac:dyDescent="0.45"/>
  <sheetData>
    <row r="1" spans="1:5" x14ac:dyDescent="0.45">
      <c r="A1" t="s">
        <v>121</v>
      </c>
      <c r="B1" t="s">
        <v>8</v>
      </c>
      <c r="C1" t="s">
        <v>129</v>
      </c>
      <c r="D1" t="s">
        <v>122</v>
      </c>
      <c r="E1" t="s">
        <v>123</v>
      </c>
    </row>
    <row r="2" spans="1:5" x14ac:dyDescent="0.45">
      <c r="A2" t="s">
        <v>124</v>
      </c>
      <c r="B2">
        <v>25</v>
      </c>
      <c r="C2" t="s">
        <v>130</v>
      </c>
      <c r="D2">
        <v>170</v>
      </c>
      <c r="E2">
        <v>65</v>
      </c>
    </row>
    <row r="3" spans="1:5" x14ac:dyDescent="0.45">
      <c r="A3" t="s">
        <v>125</v>
      </c>
      <c r="B3">
        <v>30</v>
      </c>
      <c r="C3" t="s">
        <v>131</v>
      </c>
      <c r="D3">
        <v>180</v>
      </c>
      <c r="E3">
        <v>75</v>
      </c>
    </row>
    <row r="4" spans="1:5" x14ac:dyDescent="0.45">
      <c r="A4" t="s">
        <v>126</v>
      </c>
      <c r="B4">
        <v>28</v>
      </c>
      <c r="C4" t="s">
        <v>132</v>
      </c>
      <c r="D4">
        <v>165</v>
      </c>
      <c r="E4">
        <v>60</v>
      </c>
    </row>
    <row r="5" spans="1:5" x14ac:dyDescent="0.45">
      <c r="A5" t="s">
        <v>128</v>
      </c>
      <c r="B5">
        <v>32</v>
      </c>
      <c r="C5" t="s">
        <v>130</v>
      </c>
      <c r="D5">
        <v>175</v>
      </c>
      <c r="E5" t="s">
        <v>69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61BDF-A3DD-4F70-97AD-63A7B7325A24}">
  <dimension ref="A1:C3"/>
  <sheetViews>
    <sheetView zoomScale="310" zoomScaleNormal="310" workbookViewId="0"/>
  </sheetViews>
  <sheetFormatPr defaultRowHeight="14.25" x14ac:dyDescent="0.45"/>
  <sheetData>
    <row r="1" spans="1:3" x14ac:dyDescent="0.45">
      <c r="A1" t="s">
        <v>120</v>
      </c>
      <c r="B1" t="s">
        <v>119</v>
      </c>
      <c r="C1" t="s">
        <v>118</v>
      </c>
    </row>
    <row r="2" spans="1:3" x14ac:dyDescent="0.45">
      <c r="A2">
        <v>30</v>
      </c>
      <c r="B2">
        <v>10</v>
      </c>
      <c r="C2">
        <v>2024</v>
      </c>
    </row>
    <row r="3" spans="1:3" x14ac:dyDescent="0.45">
      <c r="A3">
        <v>28</v>
      </c>
      <c r="B3">
        <v>12</v>
      </c>
      <c r="C3">
        <v>2019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40132-7442-45EB-8F9B-6D286BD59D59}">
  <dimension ref="A1:A2"/>
  <sheetViews>
    <sheetView zoomScale="190" zoomScaleNormal="190" workbookViewId="0"/>
  </sheetViews>
  <sheetFormatPr defaultRowHeight="14.25" x14ac:dyDescent="0.45"/>
  <cols>
    <col min="1" max="1" width="17.33203125" bestFit="1" customWidth="1"/>
    <col min="2" max="2" width="7.796875" bestFit="1" customWidth="1"/>
  </cols>
  <sheetData>
    <row r="1" spans="1:1" x14ac:dyDescent="0.45">
      <c r="A1" t="s">
        <v>139</v>
      </c>
    </row>
    <row r="2" spans="1:1" ht="46.15" customHeight="1" x14ac:dyDescent="0.45">
      <c r="A2" s="26" t="s">
        <v>134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9E5FF-7553-4236-B3B4-C5736636C652}">
  <dimension ref="A1:A2"/>
  <sheetViews>
    <sheetView zoomScale="400" zoomScaleNormal="400" workbookViewId="0"/>
  </sheetViews>
  <sheetFormatPr defaultRowHeight="14.25" x14ac:dyDescent="0.45"/>
  <cols>
    <col min="1" max="1" width="23.6640625" bestFit="1" customWidth="1"/>
  </cols>
  <sheetData>
    <row r="1" spans="1:1" x14ac:dyDescent="0.45">
      <c r="A1" t="s">
        <v>139</v>
      </c>
    </row>
    <row r="2" spans="1:1" x14ac:dyDescent="0.45">
      <c r="A2" t="s">
        <v>138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C14CD-6D67-42B6-B395-A55C3B4C6696}">
  <dimension ref="A1:A8"/>
  <sheetViews>
    <sheetView zoomScale="190" zoomScaleNormal="190" workbookViewId="0"/>
  </sheetViews>
  <sheetFormatPr defaultRowHeight="14.25" x14ac:dyDescent="0.45"/>
  <cols>
    <col min="1" max="1" width="30.59765625" customWidth="1"/>
  </cols>
  <sheetData>
    <row r="1" spans="1:1" x14ac:dyDescent="0.45">
      <c r="A1" t="s">
        <v>141</v>
      </c>
    </row>
    <row r="2" spans="1:1" ht="28.5" x14ac:dyDescent="0.45">
      <c r="A2" s="26" t="s">
        <v>145</v>
      </c>
    </row>
    <row r="4" spans="1:1" x14ac:dyDescent="0.45">
      <c r="A4" t="s">
        <v>140</v>
      </c>
    </row>
    <row r="5" spans="1:1" x14ac:dyDescent="0.45">
      <c r="A5" t="s">
        <v>136</v>
      </c>
    </row>
    <row r="6" spans="1:1" x14ac:dyDescent="0.45">
      <c r="A6" t="s">
        <v>142</v>
      </c>
    </row>
    <row r="7" spans="1:1" x14ac:dyDescent="0.45">
      <c r="A7" t="s">
        <v>143</v>
      </c>
    </row>
    <row r="8" spans="1:1" x14ac:dyDescent="0.45">
      <c r="A8" t="s">
        <v>144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8314C-F480-48E3-8837-69B4584A61D8}">
  <dimension ref="A1:A4"/>
  <sheetViews>
    <sheetView zoomScale="325" zoomScaleNormal="325" workbookViewId="0"/>
  </sheetViews>
  <sheetFormatPr defaultRowHeight="14.25" x14ac:dyDescent="0.45"/>
  <cols>
    <col min="1" max="1" width="9.86328125" customWidth="1"/>
  </cols>
  <sheetData>
    <row r="1" spans="1:1" x14ac:dyDescent="0.45">
      <c r="A1" t="s">
        <v>135</v>
      </c>
    </row>
    <row r="2" spans="1:1" x14ac:dyDescent="0.45">
      <c r="A2" t="s">
        <v>149</v>
      </c>
    </row>
    <row r="3" spans="1:1" x14ac:dyDescent="0.45">
      <c r="A3" t="s">
        <v>146</v>
      </c>
    </row>
    <row r="4" spans="1:1" x14ac:dyDescent="0.45">
      <c r="A4" t="s">
        <v>148</v>
      </c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5FE62-3019-4CD6-9F93-D717FC8A529E}">
  <dimension ref="A1:D11"/>
  <sheetViews>
    <sheetView zoomScale="175" zoomScaleNormal="175" workbookViewId="0"/>
  </sheetViews>
  <sheetFormatPr defaultRowHeight="14.25" x14ac:dyDescent="0.45"/>
  <cols>
    <col min="1" max="1" width="11.1328125" bestFit="1" customWidth="1"/>
    <col min="2" max="2" width="12.3984375" bestFit="1" customWidth="1"/>
    <col min="3" max="3" width="14.796875" bestFit="1" customWidth="1"/>
    <col min="4" max="4" width="10" bestFit="1" customWidth="1"/>
  </cols>
  <sheetData>
    <row r="1" spans="1:4" x14ac:dyDescent="0.45">
      <c r="A1" t="s">
        <v>151</v>
      </c>
      <c r="B1" t="s">
        <v>152</v>
      </c>
      <c r="C1" t="s">
        <v>153</v>
      </c>
      <c r="D1" t="s">
        <v>154</v>
      </c>
    </row>
    <row r="2" spans="1:4" x14ac:dyDescent="0.45">
      <c r="A2">
        <v>1</v>
      </c>
      <c r="B2">
        <v>4</v>
      </c>
      <c r="C2">
        <v>60</v>
      </c>
      <c r="D2" t="s">
        <v>155</v>
      </c>
    </row>
    <row r="3" spans="1:4" x14ac:dyDescent="0.45">
      <c r="A3">
        <v>2</v>
      </c>
      <c r="B3">
        <v>2</v>
      </c>
      <c r="C3">
        <v>45</v>
      </c>
      <c r="D3" t="s">
        <v>156</v>
      </c>
    </row>
    <row r="4" spans="1:4" x14ac:dyDescent="0.45">
      <c r="A4">
        <v>3</v>
      </c>
      <c r="B4">
        <v>6</v>
      </c>
      <c r="C4">
        <v>80</v>
      </c>
      <c r="D4" t="s">
        <v>155</v>
      </c>
    </row>
    <row r="5" spans="1:4" x14ac:dyDescent="0.45">
      <c r="A5">
        <v>4</v>
      </c>
      <c r="B5">
        <v>3</v>
      </c>
      <c r="C5">
        <v>50</v>
      </c>
      <c r="D5" t="s">
        <v>156</v>
      </c>
    </row>
    <row r="6" spans="1:4" x14ac:dyDescent="0.45">
      <c r="A6">
        <v>5</v>
      </c>
      <c r="B6">
        <v>5</v>
      </c>
      <c r="C6">
        <v>75</v>
      </c>
      <c r="D6" t="s">
        <v>155</v>
      </c>
    </row>
    <row r="7" spans="1:4" x14ac:dyDescent="0.45">
      <c r="A7">
        <v>6</v>
      </c>
      <c r="B7">
        <v>1</v>
      </c>
      <c r="C7">
        <v>40</v>
      </c>
      <c r="D7" t="s">
        <v>156</v>
      </c>
    </row>
    <row r="8" spans="1:4" x14ac:dyDescent="0.45">
      <c r="A8">
        <v>7</v>
      </c>
      <c r="B8">
        <v>7</v>
      </c>
      <c r="C8">
        <v>85</v>
      </c>
      <c r="D8" t="s">
        <v>155</v>
      </c>
    </row>
    <row r="9" spans="1:4" x14ac:dyDescent="0.45">
      <c r="A9">
        <v>8</v>
      </c>
      <c r="B9">
        <v>2</v>
      </c>
      <c r="C9">
        <v>55</v>
      </c>
      <c r="D9" t="s">
        <v>156</v>
      </c>
    </row>
    <row r="10" spans="1:4" x14ac:dyDescent="0.45">
      <c r="A10">
        <v>9</v>
      </c>
      <c r="B10">
        <v>6</v>
      </c>
      <c r="C10">
        <v>78</v>
      </c>
      <c r="D10" t="s">
        <v>155</v>
      </c>
    </row>
    <row r="11" spans="1:4" x14ac:dyDescent="0.45">
      <c r="A11">
        <v>10</v>
      </c>
      <c r="B11">
        <v>4</v>
      </c>
      <c r="C11">
        <v>62</v>
      </c>
      <c r="D11" t="s">
        <v>155</v>
      </c>
    </row>
  </sheetData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33BD7-E4A6-41BB-8AA4-897DF78CFA5B}">
  <dimension ref="A1:K14"/>
  <sheetViews>
    <sheetView zoomScale="115" zoomScaleNormal="115" workbookViewId="0"/>
  </sheetViews>
  <sheetFormatPr defaultRowHeight="14.25" x14ac:dyDescent="0.45"/>
  <cols>
    <col min="1" max="1" width="11.1328125" bestFit="1" customWidth="1"/>
    <col min="2" max="2" width="12.3984375" bestFit="1" customWidth="1"/>
    <col min="3" max="3" width="14.796875" bestFit="1" customWidth="1"/>
    <col min="4" max="4" width="10" bestFit="1" customWidth="1"/>
    <col min="5" max="5" width="13.53125" bestFit="1" customWidth="1"/>
    <col min="7" max="7" width="8.9296875" bestFit="1" customWidth="1"/>
    <col min="8" max="8" width="10.19921875" bestFit="1" customWidth="1"/>
    <col min="9" max="9" width="12.796875" bestFit="1" customWidth="1"/>
    <col min="10" max="10" width="8.1328125" bestFit="1" customWidth="1"/>
    <col min="11" max="11" width="11.3984375" bestFit="1" customWidth="1"/>
  </cols>
  <sheetData>
    <row r="1" spans="1:11" x14ac:dyDescent="0.45">
      <c r="A1" t="s">
        <v>151</v>
      </c>
      <c r="B1" t="s">
        <v>152</v>
      </c>
      <c r="C1" t="s">
        <v>153</v>
      </c>
      <c r="D1" t="s">
        <v>154</v>
      </c>
      <c r="E1" t="s">
        <v>158</v>
      </c>
      <c r="G1" s="128" t="s">
        <v>159</v>
      </c>
      <c r="H1" s="129"/>
      <c r="I1" s="129"/>
      <c r="J1" s="129"/>
      <c r="K1" s="130"/>
    </row>
    <row r="2" spans="1:11" ht="14.65" thickBot="1" x14ac:dyDescent="0.5">
      <c r="A2">
        <v>1</v>
      </c>
      <c r="B2">
        <v>4</v>
      </c>
      <c r="C2">
        <v>60</v>
      </c>
      <c r="D2" t="s">
        <v>155</v>
      </c>
      <c r="E2" t="str">
        <f t="shared" ref="E2:E11" si="0">IF($G$2="","",INT((ROW()-ROW($A$2))*$G$2/COUNTA($A$2:$A$11))+1)</f>
        <v/>
      </c>
      <c r="G2" s="131"/>
      <c r="H2" s="132"/>
      <c r="I2" s="132"/>
      <c r="J2" s="132"/>
      <c r="K2" s="133"/>
    </row>
    <row r="3" spans="1:11" ht="14.65" thickBot="1" x14ac:dyDescent="0.5">
      <c r="A3">
        <v>2</v>
      </c>
      <c r="B3">
        <v>2</v>
      </c>
      <c r="C3">
        <v>45</v>
      </c>
      <c r="D3" t="s">
        <v>156</v>
      </c>
      <c r="E3" t="str">
        <f t="shared" si="0"/>
        <v/>
      </c>
    </row>
    <row r="4" spans="1:11" x14ac:dyDescent="0.45">
      <c r="A4">
        <v>3</v>
      </c>
      <c r="B4">
        <v>6</v>
      </c>
      <c r="C4">
        <v>80</v>
      </c>
      <c r="D4" t="s">
        <v>155</v>
      </c>
      <c r="E4" t="str">
        <f t="shared" si="0"/>
        <v/>
      </c>
      <c r="G4" s="134" t="s">
        <v>160</v>
      </c>
      <c r="H4" s="135"/>
      <c r="I4" s="135"/>
      <c r="J4" s="135"/>
      <c r="K4" s="136"/>
    </row>
    <row r="5" spans="1:11" ht="14.65" thickBot="1" x14ac:dyDescent="0.5">
      <c r="A5">
        <v>4</v>
      </c>
      <c r="B5">
        <v>3</v>
      </c>
      <c r="C5">
        <v>50</v>
      </c>
      <c r="D5" t="s">
        <v>156</v>
      </c>
      <c r="E5" t="str">
        <f t="shared" si="0"/>
        <v/>
      </c>
      <c r="G5" s="125"/>
      <c r="H5" s="126"/>
      <c r="I5" s="126"/>
      <c r="J5" s="126"/>
      <c r="K5" s="127"/>
    </row>
    <row r="6" spans="1:11" x14ac:dyDescent="0.45">
      <c r="A6">
        <v>5</v>
      </c>
      <c r="B6">
        <v>5</v>
      </c>
      <c r="C6">
        <v>75</v>
      </c>
      <c r="D6" t="s">
        <v>155</v>
      </c>
      <c r="E6" t="str">
        <f t="shared" si="0"/>
        <v/>
      </c>
    </row>
    <row r="7" spans="1:11" x14ac:dyDescent="0.45">
      <c r="A7">
        <v>6</v>
      </c>
      <c r="B7">
        <v>1</v>
      </c>
      <c r="C7">
        <v>40</v>
      </c>
      <c r="D7" t="s">
        <v>156</v>
      </c>
      <c r="E7" t="str">
        <f t="shared" si="0"/>
        <v/>
      </c>
    </row>
    <row r="8" spans="1:11" x14ac:dyDescent="0.45">
      <c r="A8">
        <v>7</v>
      </c>
      <c r="B8">
        <v>7</v>
      </c>
      <c r="C8">
        <v>85</v>
      </c>
      <c r="D8" t="s">
        <v>155</v>
      </c>
      <c r="E8" t="str">
        <f t="shared" si="0"/>
        <v/>
      </c>
    </row>
    <row r="9" spans="1:11" x14ac:dyDescent="0.45">
      <c r="A9">
        <v>8</v>
      </c>
      <c r="B9">
        <v>2</v>
      </c>
      <c r="C9">
        <v>55</v>
      </c>
      <c r="D9" t="s">
        <v>156</v>
      </c>
      <c r="E9" t="str">
        <f t="shared" si="0"/>
        <v/>
      </c>
    </row>
    <row r="10" spans="1:11" x14ac:dyDescent="0.45">
      <c r="A10">
        <v>9</v>
      </c>
      <c r="B10">
        <v>6</v>
      </c>
      <c r="C10">
        <v>78</v>
      </c>
      <c r="D10" t="s">
        <v>155</v>
      </c>
      <c r="E10" t="str">
        <f t="shared" si="0"/>
        <v/>
      </c>
    </row>
    <row r="11" spans="1:11" x14ac:dyDescent="0.45">
      <c r="A11">
        <v>10</v>
      </c>
      <c r="B11">
        <v>4</v>
      </c>
      <c r="C11">
        <v>62</v>
      </c>
      <c r="D11" t="s">
        <v>155</v>
      </c>
      <c r="E11" t="str">
        <f t="shared" si="0"/>
        <v/>
      </c>
    </row>
    <row r="13" spans="1:11" x14ac:dyDescent="0.45">
      <c r="A13" s="123" t="s">
        <v>161</v>
      </c>
      <c r="B13" s="123"/>
      <c r="C13" s="123"/>
      <c r="D13" s="123"/>
      <c r="E13" s="123"/>
      <c r="G13" s="123" t="s">
        <v>162</v>
      </c>
      <c r="H13" s="123"/>
      <c r="I13" s="123"/>
      <c r="J13" s="123"/>
      <c r="K13" s="123"/>
    </row>
    <row r="14" spans="1:11" x14ac:dyDescent="0.45">
      <c r="A14" s="27" t="s">
        <v>151</v>
      </c>
      <c r="B14" s="27" t="s">
        <v>152</v>
      </c>
      <c r="C14" s="27" t="s">
        <v>153</v>
      </c>
      <c r="D14" s="27" t="s">
        <v>154</v>
      </c>
      <c r="E14" s="27" t="s">
        <v>158</v>
      </c>
      <c r="G14" s="27" t="s">
        <v>151</v>
      </c>
      <c r="H14" s="27" t="s">
        <v>152</v>
      </c>
      <c r="I14" s="27" t="s">
        <v>153</v>
      </c>
      <c r="J14" s="27" t="s">
        <v>154</v>
      </c>
      <c r="K14" s="27" t="s">
        <v>158</v>
      </c>
    </row>
  </sheetData>
  <mergeCells count="6">
    <mergeCell ref="G5:K5"/>
    <mergeCell ref="A13:E13"/>
    <mergeCell ref="G13:K13"/>
    <mergeCell ref="G1:K1"/>
    <mergeCell ref="G2:K2"/>
    <mergeCell ref="G4:K4"/>
  </mergeCells>
  <dataValidations count="2">
    <dataValidation type="whole" allowBlank="1" showInputMessage="1" showErrorMessage="1" errorTitle="Error" error="The number of the Test Fold cannot be less than 1 and cannot exceed the number of k (number of folds / groups)" sqref="G5" xr:uid="{3796CA8C-EA8D-4682-927D-206E2C54022C}">
      <formula1>1</formula1>
      <formula2>G2</formula2>
    </dataValidation>
    <dataValidation type="whole" allowBlank="1" showInputMessage="1" showErrorMessage="1" errorTitle="Error" error="The number of k cannot be below 1 and cannot exceed the number of rows in your table" sqref="G2" xr:uid="{BF227E40-CCB5-4E64-AC2B-1D2859894257}">
      <formula1>1</formula1>
      <formula2>COUNT(kFoldCrossValidation_RowCount)</formula2>
    </dataValidation>
  </dataValidations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E6663-4B42-4715-9A59-1727226CE4AD}">
  <dimension ref="A1:K15"/>
  <sheetViews>
    <sheetView zoomScale="115" zoomScaleNormal="115" workbookViewId="0"/>
  </sheetViews>
  <sheetFormatPr defaultRowHeight="14.25" x14ac:dyDescent="0.45"/>
  <cols>
    <col min="1" max="1" width="11.1328125" bestFit="1" customWidth="1"/>
    <col min="2" max="2" width="12.3984375" bestFit="1" customWidth="1"/>
    <col min="3" max="3" width="14.796875" bestFit="1" customWidth="1"/>
    <col min="4" max="4" width="10" bestFit="1" customWidth="1"/>
    <col min="5" max="5" width="13.53125" bestFit="1" customWidth="1"/>
    <col min="7" max="7" width="8.9296875" bestFit="1" customWidth="1"/>
    <col min="8" max="8" width="10.19921875" bestFit="1" customWidth="1"/>
    <col min="9" max="9" width="12.796875" bestFit="1" customWidth="1"/>
    <col min="10" max="10" width="8.1328125" bestFit="1" customWidth="1"/>
    <col min="11" max="11" width="11.3984375" bestFit="1" customWidth="1"/>
  </cols>
  <sheetData>
    <row r="1" spans="1:11" x14ac:dyDescent="0.45">
      <c r="A1" t="s">
        <v>151</v>
      </c>
      <c r="B1" t="s">
        <v>152</v>
      </c>
      <c r="C1" t="s">
        <v>153</v>
      </c>
      <c r="D1" t="s">
        <v>154</v>
      </c>
      <c r="E1" t="s">
        <v>158</v>
      </c>
      <c r="G1" s="128" t="s">
        <v>159</v>
      </c>
      <c r="H1" s="129"/>
      <c r="I1" s="129"/>
      <c r="J1" s="129"/>
      <c r="K1" s="130"/>
    </row>
    <row r="2" spans="1:11" ht="14.65" thickBot="1" x14ac:dyDescent="0.5">
      <c r="A2">
        <v>1</v>
      </c>
      <c r="B2">
        <v>4</v>
      </c>
      <c r="C2">
        <v>60</v>
      </c>
      <c r="D2" t="s">
        <v>155</v>
      </c>
      <c r="E2">
        <f t="shared" ref="E2:E11" si="0">IF($G$2="","",INT((ROW()-ROW($A$2))*$G$2/COUNTA($A$2:$A$11))+1)</f>
        <v>1</v>
      </c>
      <c r="G2" s="131">
        <f>COUNT(LeavePOutCrossValidation_Table[StudentID])</f>
        <v>10</v>
      </c>
      <c r="H2" s="132"/>
      <c r="I2" s="132"/>
      <c r="J2" s="132"/>
      <c r="K2" s="133"/>
    </row>
    <row r="3" spans="1:11" ht="14.65" thickBot="1" x14ac:dyDescent="0.5">
      <c r="A3">
        <v>2</v>
      </c>
      <c r="B3">
        <v>2</v>
      </c>
      <c r="C3">
        <v>45</v>
      </c>
      <c r="D3" t="s">
        <v>156</v>
      </c>
      <c r="E3">
        <f t="shared" si="0"/>
        <v>2</v>
      </c>
    </row>
    <row r="4" spans="1:11" x14ac:dyDescent="0.45">
      <c r="A4">
        <v>3</v>
      </c>
      <c r="B4">
        <v>6</v>
      </c>
      <c r="C4">
        <v>80</v>
      </c>
      <c r="D4" t="s">
        <v>155</v>
      </c>
      <c r="E4">
        <f t="shared" si="0"/>
        <v>3</v>
      </c>
      <c r="G4" s="134" t="s">
        <v>164</v>
      </c>
      <c r="H4" s="135"/>
      <c r="I4" s="135"/>
      <c r="J4" s="135"/>
      <c r="K4" s="136"/>
    </row>
    <row r="5" spans="1:11" ht="14.65" thickBot="1" x14ac:dyDescent="0.5">
      <c r="A5">
        <v>4</v>
      </c>
      <c r="B5">
        <v>3</v>
      </c>
      <c r="C5">
        <v>50</v>
      </c>
      <c r="D5" t="s">
        <v>156</v>
      </c>
      <c r="E5">
        <f t="shared" si="0"/>
        <v>4</v>
      </c>
      <c r="G5" s="125"/>
      <c r="H5" s="126"/>
      <c r="I5" s="126"/>
      <c r="J5" s="126"/>
      <c r="K5" s="127"/>
    </row>
    <row r="6" spans="1:11" x14ac:dyDescent="0.45">
      <c r="A6">
        <v>5</v>
      </c>
      <c r="B6">
        <v>5</v>
      </c>
      <c r="C6">
        <v>75</v>
      </c>
      <c r="D6" t="s">
        <v>155</v>
      </c>
      <c r="E6">
        <f t="shared" si="0"/>
        <v>5</v>
      </c>
    </row>
    <row r="7" spans="1:11" x14ac:dyDescent="0.45">
      <c r="A7">
        <v>6</v>
      </c>
      <c r="B7">
        <v>1</v>
      </c>
      <c r="C7">
        <v>40</v>
      </c>
      <c r="D7" t="s">
        <v>156</v>
      </c>
      <c r="E7">
        <f t="shared" si="0"/>
        <v>6</v>
      </c>
      <c r="G7" s="28" t="str">
        <f>IF($G$5&gt;=1,"p #1","")</f>
        <v/>
      </c>
      <c r="H7" s="28" t="str">
        <f>IF($G$5&gt;=2,"p #2","")</f>
        <v/>
      </c>
      <c r="I7" s="28" t="str">
        <f>IF($G$5&gt;=3,"p #3","")</f>
        <v/>
      </c>
      <c r="J7" s="28" t="str">
        <f>IF($G$5&gt;=4,"p #4","")</f>
        <v/>
      </c>
      <c r="K7" s="28" t="str">
        <f>IF($G$5&gt;=5,"p #5","")</f>
        <v/>
      </c>
    </row>
    <row r="8" spans="1:11" x14ac:dyDescent="0.45">
      <c r="A8">
        <v>7</v>
      </c>
      <c r="B8">
        <v>7</v>
      </c>
      <c r="C8">
        <v>85</v>
      </c>
      <c r="D8" t="s">
        <v>155</v>
      </c>
      <c r="E8">
        <f t="shared" si="0"/>
        <v>7</v>
      </c>
    </row>
    <row r="9" spans="1:11" x14ac:dyDescent="0.45">
      <c r="A9">
        <v>8</v>
      </c>
      <c r="B9">
        <v>2</v>
      </c>
      <c r="C9">
        <v>55</v>
      </c>
      <c r="D9" t="s">
        <v>156</v>
      </c>
      <c r="E9">
        <f t="shared" si="0"/>
        <v>8</v>
      </c>
    </row>
    <row r="10" spans="1:11" x14ac:dyDescent="0.45">
      <c r="A10">
        <v>9</v>
      </c>
      <c r="B10">
        <v>6</v>
      </c>
      <c r="C10">
        <v>78</v>
      </c>
      <c r="D10" t="s">
        <v>155</v>
      </c>
      <c r="E10">
        <f t="shared" si="0"/>
        <v>9</v>
      </c>
    </row>
    <row r="11" spans="1:11" x14ac:dyDescent="0.45">
      <c r="A11">
        <v>10</v>
      </c>
      <c r="B11">
        <v>4</v>
      </c>
      <c r="C11">
        <v>62</v>
      </c>
      <c r="D11" t="s">
        <v>155</v>
      </c>
      <c r="E11">
        <f t="shared" si="0"/>
        <v>10</v>
      </c>
    </row>
    <row r="13" spans="1:11" x14ac:dyDescent="0.45">
      <c r="A13" s="123" t="s">
        <v>161</v>
      </c>
      <c r="B13" s="123"/>
      <c r="C13" s="123"/>
      <c r="D13" s="123"/>
      <c r="E13" s="123"/>
      <c r="G13" s="123" t="s">
        <v>162</v>
      </c>
      <c r="H13" s="123"/>
      <c r="I13" s="123"/>
      <c r="J13" s="123"/>
      <c r="K13" s="123"/>
    </row>
    <row r="14" spans="1:11" x14ac:dyDescent="0.45">
      <c r="A14" s="27" t="s">
        <v>151</v>
      </c>
      <c r="B14" s="27" t="s">
        <v>152</v>
      </c>
      <c r="C14" s="27" t="s">
        <v>153</v>
      </c>
      <c r="D14" s="27" t="s">
        <v>154</v>
      </c>
      <c r="E14" s="27" t="s">
        <v>158</v>
      </c>
      <c r="G14" s="27" t="s">
        <v>151</v>
      </c>
      <c r="H14" s="27" t="s">
        <v>152</v>
      </c>
      <c r="I14" s="27" t="s">
        <v>153</v>
      </c>
      <c r="J14" s="27" t="s">
        <v>154</v>
      </c>
      <c r="K14" s="27" t="s">
        <v>158</v>
      </c>
    </row>
    <row r="15" spans="1:11" x14ac:dyDescent="0.45">
      <c r="A15" t="str" cm="1">
        <f t="array" ref="A15">IF(G5="","",_xlfn._xlws.FILTER(
    LeavePOutCrossValidation_Table[],
    ISNA(MATCH(LeavePOutCrossValidation_Table[Fold Number],G8:K8,0)))
)</f>
        <v/>
      </c>
      <c r="G15" t="str" cm="1">
        <f t="array" ref="G15">IFERROR(_xlfn._xlws.FILTER(
    LeavePOutCrossValidation_Table[],
    ISNUMBER(MATCH(LeavePOutCrossValidation_Table[Fold Number],G8:K8,0))
),"")</f>
        <v/>
      </c>
    </row>
  </sheetData>
  <mergeCells count="6">
    <mergeCell ref="G1:K1"/>
    <mergeCell ref="G2:K2"/>
    <mergeCell ref="G4:K4"/>
    <mergeCell ref="G5:K5"/>
    <mergeCell ref="A13:E13"/>
    <mergeCell ref="G13:K13"/>
  </mergeCells>
  <dataValidations count="1">
    <dataValidation type="whole" allowBlank="1" showInputMessage="1" showErrorMessage="1" errorTitle="Error" sqref="G5:K5" xr:uid="{15D8F713-5D29-41F1-81F3-5602E9C5C57E}">
      <formula1>1</formula1>
      <formula2>5</formula2>
    </dataValidation>
  </dataValidations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4DF47-6A45-4B23-8702-38668EC8EF70}">
  <dimension ref="A1:H8"/>
  <sheetViews>
    <sheetView zoomScale="130" zoomScaleNormal="130" workbookViewId="0"/>
  </sheetViews>
  <sheetFormatPr defaultRowHeight="14.25" x14ac:dyDescent="0.45"/>
  <cols>
    <col min="1" max="1" width="11.796875" bestFit="1" customWidth="1"/>
    <col min="2" max="2" width="10.9296875" bestFit="1" customWidth="1"/>
    <col min="4" max="4" width="31" bestFit="1" customWidth="1"/>
    <col min="8" max="8" width="12.19921875" bestFit="1" customWidth="1"/>
  </cols>
  <sheetData>
    <row r="1" spans="1:8" ht="42.75" x14ac:dyDescent="0.45">
      <c r="A1" s="3" t="s">
        <v>177</v>
      </c>
      <c r="B1" s="3" t="s">
        <v>176</v>
      </c>
      <c r="D1" s="137" t="s">
        <v>181</v>
      </c>
      <c r="E1" s="137"/>
      <c r="F1" s="32"/>
      <c r="H1" s="32"/>
    </row>
    <row r="2" spans="1:8" ht="14.65" thickBot="1" x14ac:dyDescent="0.5">
      <c r="A2">
        <v>1</v>
      </c>
      <c r="B2">
        <v>10</v>
      </c>
    </row>
    <row r="3" spans="1:8" ht="14.65" thickBot="1" x14ac:dyDescent="0.5">
      <c r="A3">
        <v>2</v>
      </c>
      <c r="B3">
        <v>20</v>
      </c>
      <c r="D3" s="42" t="s">
        <v>178</v>
      </c>
      <c r="E3" s="43"/>
    </row>
    <row r="4" spans="1:8" ht="14.65" thickBot="1" x14ac:dyDescent="0.5">
      <c r="A4">
        <v>3</v>
      </c>
      <c r="B4">
        <v>30</v>
      </c>
    </row>
    <row r="5" spans="1:8" ht="14.65" thickBot="1" x14ac:dyDescent="0.5">
      <c r="A5">
        <v>4</v>
      </c>
      <c r="B5">
        <v>40</v>
      </c>
      <c r="D5" s="22" t="s">
        <v>180</v>
      </c>
      <c r="E5" s="18"/>
    </row>
    <row r="6" spans="1:8" ht="14.65" thickBot="1" x14ac:dyDescent="0.5">
      <c r="A6">
        <v>5</v>
      </c>
      <c r="B6">
        <v>50</v>
      </c>
      <c r="D6" s="22" t="s">
        <v>179</v>
      </c>
      <c r="E6" s="20"/>
    </row>
    <row r="7" spans="1:8" ht="14.65" thickBot="1" x14ac:dyDescent="0.5">
      <c r="D7" s="22" t="s">
        <v>183</v>
      </c>
      <c r="E7" s="20"/>
    </row>
    <row r="8" spans="1:8" ht="14.65" thickBot="1" x14ac:dyDescent="0.5">
      <c r="D8" s="22" t="s">
        <v>182</v>
      </c>
      <c r="E8" s="14"/>
    </row>
  </sheetData>
  <mergeCells count="1">
    <mergeCell ref="D1:E1"/>
  </mergeCells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16900-BFB9-4B1E-9D77-DE6D26A97EEE}">
  <dimension ref="A1:F11"/>
  <sheetViews>
    <sheetView zoomScale="130" zoomScaleNormal="130" workbookViewId="0">
      <selection sqref="A1:B1"/>
    </sheetView>
  </sheetViews>
  <sheetFormatPr defaultRowHeight="14.25" x14ac:dyDescent="0.45"/>
  <cols>
    <col min="1" max="2" width="13.33203125" customWidth="1"/>
    <col min="3" max="4" width="14" customWidth="1"/>
    <col min="5" max="5" width="17.33203125" customWidth="1"/>
    <col min="6" max="6" width="17.33203125" bestFit="1" customWidth="1"/>
  </cols>
  <sheetData>
    <row r="1" spans="1:6" ht="14.65" thickBot="1" x14ac:dyDescent="0.5">
      <c r="A1" s="142" t="s">
        <v>181</v>
      </c>
      <c r="B1" s="143"/>
      <c r="E1" s="39" t="s">
        <v>187</v>
      </c>
      <c r="F1" s="38" t="s">
        <v>189</v>
      </c>
    </row>
    <row r="2" spans="1:6" ht="15.75" x14ac:dyDescent="0.45">
      <c r="A2" s="46" t="s">
        <v>180</v>
      </c>
      <c r="B2" s="47" t="s">
        <v>179</v>
      </c>
      <c r="C2" s="138" t="s">
        <v>193</v>
      </c>
      <c r="D2" s="139"/>
      <c r="E2" s="44" t="s">
        <v>188</v>
      </c>
      <c r="F2" s="41" t="s">
        <v>190</v>
      </c>
    </row>
    <row r="3" spans="1:6" ht="14.65" thickBot="1" x14ac:dyDescent="0.5">
      <c r="A3" s="48">
        <f>INTERCEPT(CostFunctionLinearRegression_Table[SALES
Dependent
Y-Axis],CostFunctionLinearRegression_Table[ADS SPENT
Independent
X-Axis])</f>
        <v>0</v>
      </c>
      <c r="B3" s="45">
        <f>SLOPE(CostFunctionLinearRegression_Table[SALES
Dependent
Y-Axis],CostFunctionLinearRegression_Table[ADS SPENT
Independent
X-Axis])</f>
        <v>10</v>
      </c>
      <c r="C3" s="140"/>
      <c r="D3" s="141"/>
      <c r="E3" s="49"/>
      <c r="F3" s="50"/>
    </row>
    <row r="4" spans="1:6" x14ac:dyDescent="0.45">
      <c r="E4" s="33"/>
      <c r="F4" s="36"/>
    </row>
    <row r="5" spans="1:6" x14ac:dyDescent="0.45">
      <c r="E5" s="33"/>
      <c r="F5" s="36"/>
    </row>
    <row r="6" spans="1:6" ht="42.75" x14ac:dyDescent="0.45">
      <c r="A6" s="4" t="s">
        <v>177</v>
      </c>
      <c r="B6" s="4" t="s">
        <v>176</v>
      </c>
      <c r="C6" s="4" t="s">
        <v>184</v>
      </c>
      <c r="D6" s="4" t="s">
        <v>185</v>
      </c>
      <c r="E6" s="34" t="s">
        <v>186</v>
      </c>
      <c r="F6" s="40" t="s">
        <v>191</v>
      </c>
    </row>
    <row r="7" spans="1:6" x14ac:dyDescent="0.45">
      <c r="A7">
        <v>1</v>
      </c>
      <c r="B7">
        <v>10</v>
      </c>
      <c r="E7" s="33"/>
      <c r="F7" s="36"/>
    </row>
    <row r="8" spans="1:6" x14ac:dyDescent="0.45">
      <c r="A8">
        <v>2</v>
      </c>
      <c r="B8">
        <v>20</v>
      </c>
      <c r="E8" s="33"/>
      <c r="F8" s="36"/>
    </row>
    <row r="9" spans="1:6" x14ac:dyDescent="0.45">
      <c r="A9">
        <v>3</v>
      </c>
      <c r="B9">
        <v>30</v>
      </c>
      <c r="E9" s="33"/>
      <c r="F9" s="36"/>
    </row>
    <row r="10" spans="1:6" x14ac:dyDescent="0.45">
      <c r="A10">
        <v>4</v>
      </c>
      <c r="B10">
        <v>40</v>
      </c>
      <c r="E10" s="33"/>
      <c r="F10" s="36"/>
    </row>
    <row r="11" spans="1:6" ht="14.65" thickBot="1" x14ac:dyDescent="0.5">
      <c r="A11">
        <v>5</v>
      </c>
      <c r="B11">
        <v>50</v>
      </c>
      <c r="E11" s="35"/>
      <c r="F11" s="37"/>
    </row>
  </sheetData>
  <mergeCells count="3">
    <mergeCell ref="C2:D2"/>
    <mergeCell ref="C3:D3"/>
    <mergeCell ref="A1:B1"/>
  </mergeCells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97B0F-92C6-4400-895E-FC3EB1DCE9D5}">
  <dimension ref="A1:O366"/>
  <sheetViews>
    <sheetView zoomScale="85" zoomScaleNormal="85" workbookViewId="0">
      <pane ySplit="1" topLeftCell="A2" activePane="bottomLeft" state="frozen"/>
      <selection pane="bottomLeft"/>
    </sheetView>
  </sheetViews>
  <sheetFormatPr defaultColWidth="11.19921875" defaultRowHeight="14.25" x14ac:dyDescent="0.45"/>
  <cols>
    <col min="1" max="1" width="16.265625" bestFit="1" customWidth="1"/>
    <col min="2" max="2" width="12.265625" bestFit="1" customWidth="1"/>
    <col min="3" max="3" width="15" bestFit="1" customWidth="1"/>
    <col min="4" max="4" width="12.06640625" bestFit="1" customWidth="1"/>
    <col min="5" max="5" width="11.19921875" bestFit="1" customWidth="1"/>
    <col min="6" max="9" width="11.19921875" customWidth="1"/>
    <col min="10" max="10" width="13.796875" bestFit="1" customWidth="1"/>
    <col min="11" max="11" width="13.796875" customWidth="1"/>
    <col min="12" max="12" width="12.46484375" bestFit="1" customWidth="1"/>
    <col min="13" max="13" width="11.73046875" bestFit="1" customWidth="1"/>
  </cols>
  <sheetData>
    <row r="1" spans="1:12" x14ac:dyDescent="0.45">
      <c r="A1" s="95" t="s">
        <v>251</v>
      </c>
      <c r="B1" s="95" t="s">
        <v>252</v>
      </c>
      <c r="C1" s="95" t="s">
        <v>253</v>
      </c>
      <c r="D1" s="95" t="s">
        <v>254</v>
      </c>
      <c r="E1" s="95" t="s">
        <v>255</v>
      </c>
      <c r="F1" s="95"/>
      <c r="G1" s="95"/>
      <c r="H1" s="95"/>
      <c r="I1" s="95"/>
    </row>
    <row r="2" spans="1:12" x14ac:dyDescent="0.45">
      <c r="A2" s="96">
        <v>14.1</v>
      </c>
      <c r="B2" s="96">
        <v>80.599999999999994</v>
      </c>
      <c r="C2" s="96">
        <v>10.7</v>
      </c>
      <c r="D2" s="96">
        <v>2</v>
      </c>
      <c r="E2" s="16">
        <v>985</v>
      </c>
      <c r="F2" s="97"/>
      <c r="G2" s="97"/>
      <c r="H2" s="97"/>
      <c r="I2" s="97"/>
      <c r="K2" t="s">
        <v>256</v>
      </c>
      <c r="L2" t="s">
        <v>257</v>
      </c>
    </row>
    <row r="3" spans="1:12" x14ac:dyDescent="0.45">
      <c r="A3" s="96">
        <v>14.9</v>
      </c>
      <c r="B3" s="96">
        <v>69.599999999999994</v>
      </c>
      <c r="C3" s="96">
        <v>16.7</v>
      </c>
      <c r="D3" s="96">
        <v>2</v>
      </c>
      <c r="E3" s="16">
        <v>801</v>
      </c>
      <c r="F3" s="97"/>
      <c r="G3" s="97"/>
      <c r="H3" s="97"/>
      <c r="I3" s="97"/>
      <c r="J3" t="s">
        <v>258</v>
      </c>
      <c r="L3" s="98"/>
    </row>
    <row r="4" spans="1:12" x14ac:dyDescent="0.45">
      <c r="A4" s="96">
        <v>8.1</v>
      </c>
      <c r="B4" s="96">
        <v>43.7</v>
      </c>
      <c r="C4" s="96">
        <v>16.600000000000001</v>
      </c>
      <c r="D4" s="96">
        <v>1</v>
      </c>
      <c r="E4" s="16">
        <v>1349</v>
      </c>
      <c r="F4" s="97"/>
      <c r="G4" s="97"/>
      <c r="H4" s="97"/>
      <c r="I4" s="97"/>
      <c r="J4" t="s">
        <v>259</v>
      </c>
      <c r="L4" s="98"/>
    </row>
    <row r="5" spans="1:12" x14ac:dyDescent="0.45">
      <c r="A5" s="96">
        <v>8.1999999999999993</v>
      </c>
      <c r="B5" s="96">
        <v>59</v>
      </c>
      <c r="C5" s="96">
        <v>10.7</v>
      </c>
      <c r="D5" s="96">
        <v>1</v>
      </c>
      <c r="E5" s="16">
        <v>1562</v>
      </c>
      <c r="F5" s="97"/>
      <c r="G5" s="97"/>
      <c r="H5" s="97"/>
      <c r="I5" s="97"/>
      <c r="J5" s="99"/>
      <c r="K5" s="100"/>
      <c r="L5" s="99"/>
    </row>
    <row r="6" spans="1:12" x14ac:dyDescent="0.45">
      <c r="A6" s="96">
        <v>9.3000000000000007</v>
      </c>
      <c r="B6" s="96">
        <v>43.7</v>
      </c>
      <c r="C6" s="96">
        <v>12.5</v>
      </c>
      <c r="D6" s="96">
        <v>1</v>
      </c>
      <c r="E6" s="16">
        <v>1600</v>
      </c>
      <c r="F6" s="97"/>
      <c r="G6" s="97"/>
      <c r="H6" s="97"/>
      <c r="I6" s="97"/>
      <c r="J6" t="s">
        <v>251</v>
      </c>
      <c r="K6" s="101"/>
    </row>
    <row r="7" spans="1:12" x14ac:dyDescent="0.45">
      <c r="A7" s="96">
        <v>8.4</v>
      </c>
      <c r="B7" s="96">
        <v>51.8</v>
      </c>
      <c r="C7" s="96">
        <v>6</v>
      </c>
      <c r="D7" s="96">
        <v>1</v>
      </c>
      <c r="E7" s="16">
        <v>1606</v>
      </c>
      <c r="F7" s="97"/>
      <c r="G7" s="97"/>
      <c r="H7" s="97"/>
      <c r="I7" s="97"/>
      <c r="J7" t="s">
        <v>252</v>
      </c>
      <c r="K7" s="101"/>
    </row>
    <row r="8" spans="1:12" x14ac:dyDescent="0.45">
      <c r="A8" s="96">
        <v>8.1</v>
      </c>
      <c r="B8" s="96">
        <v>49.9</v>
      </c>
      <c r="C8" s="96">
        <v>11.3</v>
      </c>
      <c r="D8" s="96">
        <v>2</v>
      </c>
      <c r="E8" s="16">
        <v>1510</v>
      </c>
      <c r="F8" s="97"/>
      <c r="G8" s="97"/>
      <c r="H8" s="97"/>
      <c r="I8" s="97"/>
      <c r="J8" t="s">
        <v>253</v>
      </c>
      <c r="K8" s="101"/>
    </row>
    <row r="9" spans="1:12" x14ac:dyDescent="0.45">
      <c r="A9" s="96">
        <v>6.8</v>
      </c>
      <c r="B9" s="96">
        <v>53.6</v>
      </c>
      <c r="C9" s="96">
        <v>17.899999999999999</v>
      </c>
      <c r="D9" s="96">
        <v>2</v>
      </c>
      <c r="E9" s="16">
        <v>959</v>
      </c>
      <c r="F9" s="97"/>
      <c r="G9" s="97"/>
      <c r="H9" s="97"/>
      <c r="I9" s="97"/>
      <c r="J9" t="s">
        <v>254</v>
      </c>
      <c r="K9" s="101"/>
    </row>
    <row r="10" spans="1:12" x14ac:dyDescent="0.45">
      <c r="A10" s="96">
        <v>5.7</v>
      </c>
      <c r="B10" s="96">
        <v>43.4</v>
      </c>
      <c r="C10" s="96">
        <v>24.3</v>
      </c>
      <c r="D10" s="96">
        <v>1</v>
      </c>
      <c r="E10" s="16">
        <v>822</v>
      </c>
      <c r="F10" s="97"/>
      <c r="G10" s="97"/>
      <c r="H10" s="97"/>
      <c r="I10" s="97"/>
      <c r="J10" s="99"/>
      <c r="K10" s="99"/>
      <c r="L10" s="99"/>
    </row>
    <row r="11" spans="1:12" x14ac:dyDescent="0.45">
      <c r="A11" s="96">
        <v>6.2</v>
      </c>
      <c r="B11" s="96">
        <v>48.3</v>
      </c>
      <c r="C11" s="96">
        <v>15</v>
      </c>
      <c r="D11" s="96">
        <v>1</v>
      </c>
      <c r="E11" s="16">
        <v>1321</v>
      </c>
      <c r="F11" s="97"/>
      <c r="G11" s="97"/>
      <c r="H11" s="97"/>
      <c r="I11" s="97"/>
      <c r="J11" t="s">
        <v>180</v>
      </c>
    </row>
    <row r="12" spans="1:12" x14ac:dyDescent="0.45">
      <c r="A12" s="96">
        <v>6.9</v>
      </c>
      <c r="B12" s="96">
        <v>68.599999999999994</v>
      </c>
      <c r="C12" s="96">
        <v>8.1999999999999993</v>
      </c>
      <c r="D12" s="96">
        <v>2</v>
      </c>
      <c r="E12" s="16">
        <v>1263</v>
      </c>
      <c r="F12" s="97"/>
      <c r="G12" s="97"/>
      <c r="H12" s="97"/>
      <c r="I12" s="97"/>
      <c r="J12" t="s">
        <v>179</v>
      </c>
    </row>
    <row r="13" spans="1:12" x14ac:dyDescent="0.45">
      <c r="A13" s="96">
        <v>7.1</v>
      </c>
      <c r="B13" s="96">
        <v>60</v>
      </c>
      <c r="C13" s="96">
        <v>20.399999999999999</v>
      </c>
      <c r="D13" s="96">
        <v>1</v>
      </c>
      <c r="E13" s="16">
        <v>1162</v>
      </c>
      <c r="F13" s="97"/>
      <c r="G13" s="97"/>
      <c r="H13" s="97"/>
      <c r="I13" s="97"/>
      <c r="J13" t="s">
        <v>260</v>
      </c>
      <c r="K13" s="102"/>
    </row>
    <row r="14" spans="1:12" x14ac:dyDescent="0.45">
      <c r="A14" s="96">
        <v>6.8</v>
      </c>
      <c r="B14" s="96">
        <v>47</v>
      </c>
      <c r="C14" s="96">
        <v>20.2</v>
      </c>
      <c r="D14" s="96">
        <v>1</v>
      </c>
      <c r="E14" s="16">
        <v>1406</v>
      </c>
      <c r="F14" s="97"/>
      <c r="G14" s="97"/>
      <c r="H14" s="97"/>
      <c r="I14" s="97"/>
      <c r="J14" s="99"/>
      <c r="K14" s="99"/>
      <c r="L14" s="99"/>
    </row>
    <row r="15" spans="1:12" x14ac:dyDescent="0.45">
      <c r="A15" s="96">
        <v>6.6</v>
      </c>
      <c r="B15" s="96">
        <v>53.8</v>
      </c>
      <c r="C15" s="96">
        <v>8.5</v>
      </c>
      <c r="D15" s="96">
        <v>1</v>
      </c>
      <c r="E15" s="16">
        <v>1421</v>
      </c>
      <c r="F15" s="97"/>
      <c r="G15" s="97"/>
      <c r="H15" s="97"/>
      <c r="I15" s="97"/>
      <c r="J15" t="s">
        <v>261</v>
      </c>
      <c r="K15" s="16"/>
      <c r="L15" s="16"/>
    </row>
    <row r="16" spans="1:12" x14ac:dyDescent="0.45">
      <c r="A16" s="96">
        <v>9.6</v>
      </c>
      <c r="B16" s="96">
        <v>49.9</v>
      </c>
      <c r="C16" s="96">
        <v>10.6</v>
      </c>
      <c r="D16" s="96">
        <v>2</v>
      </c>
      <c r="E16" s="16">
        <v>1248</v>
      </c>
      <c r="F16" s="97"/>
      <c r="G16" s="97"/>
      <c r="H16" s="97"/>
      <c r="I16" s="97"/>
      <c r="J16" t="s">
        <v>262</v>
      </c>
      <c r="K16" s="103"/>
      <c r="L16" s="103"/>
    </row>
    <row r="17" spans="1:15" x14ac:dyDescent="0.45">
      <c r="A17" s="96">
        <v>9.5</v>
      </c>
      <c r="B17" s="96">
        <v>48.4</v>
      </c>
      <c r="C17" s="96">
        <v>12.6</v>
      </c>
      <c r="D17" s="96">
        <v>1</v>
      </c>
      <c r="E17" s="16">
        <v>1204</v>
      </c>
      <c r="F17" s="97"/>
      <c r="G17" s="97"/>
      <c r="H17" s="97"/>
      <c r="I17" s="97"/>
      <c r="J17" t="s">
        <v>263</v>
      </c>
      <c r="K17" s="103"/>
      <c r="L17" s="103"/>
    </row>
    <row r="18" spans="1:15" x14ac:dyDescent="0.45">
      <c r="A18" s="96">
        <v>7.2</v>
      </c>
      <c r="B18" s="96">
        <v>53.8</v>
      </c>
      <c r="C18" s="96">
        <v>13</v>
      </c>
      <c r="D18" s="96">
        <v>2</v>
      </c>
      <c r="E18" s="16">
        <v>1000</v>
      </c>
      <c r="F18" s="97"/>
      <c r="G18" s="97"/>
      <c r="H18" s="97"/>
      <c r="I18" s="97"/>
      <c r="J18" t="s">
        <v>264</v>
      </c>
      <c r="K18" s="102"/>
      <c r="L18" s="102"/>
    </row>
    <row r="19" spans="1:15" x14ac:dyDescent="0.45">
      <c r="A19" s="96">
        <v>8.9</v>
      </c>
      <c r="B19" s="96">
        <v>86.2</v>
      </c>
      <c r="C19" s="96">
        <v>9.8000000000000007</v>
      </c>
      <c r="D19" s="96">
        <v>2</v>
      </c>
      <c r="E19" s="16">
        <v>683</v>
      </c>
      <c r="F19" s="97"/>
      <c r="G19" s="97"/>
      <c r="H19" s="97"/>
      <c r="I19" s="97"/>
      <c r="J19" s="99"/>
      <c r="K19" s="99"/>
      <c r="L19" s="99"/>
    </row>
    <row r="20" spans="1:15" x14ac:dyDescent="0.45">
      <c r="A20" s="96">
        <v>12</v>
      </c>
      <c r="B20" s="96">
        <v>74.2</v>
      </c>
      <c r="C20" s="96">
        <v>14</v>
      </c>
      <c r="D20" s="96">
        <v>2</v>
      </c>
      <c r="E20" s="16">
        <v>1650</v>
      </c>
      <c r="F20" s="97"/>
      <c r="G20" s="97"/>
      <c r="H20" s="97"/>
      <c r="I20" s="97"/>
      <c r="K20" s="104" t="s">
        <v>254</v>
      </c>
      <c r="L20" s="104" t="s">
        <v>253</v>
      </c>
      <c r="M20" s="104" t="s">
        <v>252</v>
      </c>
      <c r="N20" s="104" t="s">
        <v>251</v>
      </c>
      <c r="O20" s="104" t="s">
        <v>265</v>
      </c>
    </row>
    <row r="21" spans="1:15" x14ac:dyDescent="0.45">
      <c r="A21" s="96">
        <v>10.7</v>
      </c>
      <c r="B21" s="96">
        <v>53.8</v>
      </c>
      <c r="C21" s="96">
        <v>13.1</v>
      </c>
      <c r="D21" s="96">
        <v>2</v>
      </c>
      <c r="E21" s="16">
        <v>1927</v>
      </c>
      <c r="F21" s="97"/>
      <c r="G21" s="97"/>
      <c r="H21" s="97"/>
      <c r="I21" s="97"/>
      <c r="J21" t="s">
        <v>179</v>
      </c>
    </row>
    <row r="22" spans="1:15" x14ac:dyDescent="0.45">
      <c r="A22" s="96">
        <v>7.3</v>
      </c>
      <c r="B22" s="96">
        <v>45.7</v>
      </c>
      <c r="C22" s="96">
        <v>23.7</v>
      </c>
      <c r="D22" s="96">
        <v>1</v>
      </c>
      <c r="E22" s="16">
        <v>1543</v>
      </c>
      <c r="F22" s="97"/>
      <c r="G22" s="97"/>
      <c r="H22" s="97"/>
      <c r="I22" s="97"/>
      <c r="J22" t="s">
        <v>266</v>
      </c>
    </row>
    <row r="23" spans="1:15" x14ac:dyDescent="0.45">
      <c r="A23" s="96">
        <v>2.4</v>
      </c>
      <c r="B23" s="96">
        <v>40</v>
      </c>
      <c r="C23" s="96">
        <v>11.5</v>
      </c>
      <c r="D23" s="96">
        <v>1</v>
      </c>
      <c r="E23" s="16">
        <v>981</v>
      </c>
      <c r="F23" s="97"/>
      <c r="G23" s="97"/>
      <c r="H23" s="97"/>
      <c r="I23" s="97"/>
      <c r="J23" t="s">
        <v>260</v>
      </c>
    </row>
    <row r="24" spans="1:15" x14ac:dyDescent="0.45">
      <c r="A24" s="96">
        <v>4</v>
      </c>
      <c r="B24" s="96">
        <v>43.7</v>
      </c>
      <c r="C24" s="96">
        <v>16.5</v>
      </c>
      <c r="D24" s="96">
        <v>1</v>
      </c>
      <c r="E24" s="16">
        <v>986</v>
      </c>
      <c r="F24" s="97"/>
      <c r="G24" s="97"/>
      <c r="H24" s="97"/>
      <c r="I24" s="97"/>
    </row>
    <row r="25" spans="1:15" x14ac:dyDescent="0.45">
      <c r="A25" s="96">
        <v>4</v>
      </c>
      <c r="B25" s="96">
        <v>49.2</v>
      </c>
      <c r="C25" s="96">
        <v>10.6</v>
      </c>
      <c r="D25" s="96">
        <v>1</v>
      </c>
      <c r="E25" s="16">
        <v>1416</v>
      </c>
      <c r="F25" s="97"/>
      <c r="G25" s="97"/>
      <c r="H25" s="97"/>
      <c r="I25" s="97"/>
    </row>
    <row r="26" spans="1:15" x14ac:dyDescent="0.45">
      <c r="A26" s="96">
        <v>9.1999999999999993</v>
      </c>
      <c r="B26" s="96">
        <v>61.7</v>
      </c>
      <c r="C26" s="96">
        <v>8.6999999999999993</v>
      </c>
      <c r="D26" s="96">
        <v>2</v>
      </c>
      <c r="E26" s="16">
        <v>1985</v>
      </c>
      <c r="F26" s="97"/>
      <c r="G26" s="97"/>
      <c r="H26" s="97"/>
      <c r="I26" s="97"/>
    </row>
    <row r="27" spans="1:15" x14ac:dyDescent="0.45">
      <c r="A27" s="96">
        <v>8.9</v>
      </c>
      <c r="B27" s="96">
        <v>86.2</v>
      </c>
      <c r="C27" s="96">
        <v>19.7</v>
      </c>
      <c r="D27" s="96">
        <v>3</v>
      </c>
      <c r="E27" s="16">
        <v>506</v>
      </c>
      <c r="F27" s="97"/>
      <c r="G27" s="97"/>
      <c r="H27" s="97"/>
      <c r="I27" s="97"/>
    </row>
    <row r="28" spans="1:15" x14ac:dyDescent="0.45">
      <c r="A28" s="96">
        <v>8</v>
      </c>
      <c r="B28" s="96">
        <v>68.8</v>
      </c>
      <c r="C28" s="96">
        <v>7.6</v>
      </c>
      <c r="D28" s="96">
        <v>1</v>
      </c>
      <c r="E28" s="16">
        <v>431</v>
      </c>
      <c r="F28" s="97"/>
      <c r="G28" s="97"/>
      <c r="H28" s="97"/>
      <c r="I28" s="97"/>
    </row>
    <row r="29" spans="1:15" x14ac:dyDescent="0.45">
      <c r="A29" s="96">
        <v>8.3000000000000007</v>
      </c>
      <c r="B29" s="96">
        <v>79.3</v>
      </c>
      <c r="C29" s="96">
        <v>8.3000000000000007</v>
      </c>
      <c r="D29" s="96">
        <v>2</v>
      </c>
      <c r="E29" s="16">
        <v>1167</v>
      </c>
      <c r="F29" s="97"/>
      <c r="G29" s="97"/>
      <c r="H29" s="97"/>
      <c r="I29" s="97"/>
    </row>
    <row r="30" spans="1:15" x14ac:dyDescent="0.45">
      <c r="A30" s="96">
        <v>8.1</v>
      </c>
      <c r="B30" s="96">
        <v>65.2</v>
      </c>
      <c r="C30" s="96">
        <v>9.6999999999999993</v>
      </c>
      <c r="D30" s="96">
        <v>1</v>
      </c>
      <c r="E30" s="16">
        <v>1098</v>
      </c>
      <c r="F30" s="97"/>
      <c r="G30" s="97"/>
      <c r="H30" s="97"/>
      <c r="I30" s="97"/>
    </row>
    <row r="31" spans="1:15" x14ac:dyDescent="0.45">
      <c r="A31" s="96">
        <v>8.9</v>
      </c>
      <c r="B31" s="96">
        <v>72.2</v>
      </c>
      <c r="C31" s="96">
        <v>5</v>
      </c>
      <c r="D31" s="96">
        <v>1</v>
      </c>
      <c r="E31" s="16">
        <v>1096</v>
      </c>
      <c r="F31" s="97"/>
      <c r="G31" s="97"/>
      <c r="H31" s="97"/>
      <c r="I31" s="97"/>
    </row>
    <row r="32" spans="1:15" x14ac:dyDescent="0.45">
      <c r="A32" s="96">
        <v>7.4</v>
      </c>
      <c r="B32" s="96">
        <v>60.4</v>
      </c>
      <c r="C32" s="96">
        <v>12.5</v>
      </c>
      <c r="D32" s="96">
        <v>2</v>
      </c>
      <c r="E32" s="16">
        <v>1501</v>
      </c>
      <c r="F32" s="97"/>
      <c r="G32" s="97"/>
      <c r="H32" s="97"/>
      <c r="I32" s="97"/>
    </row>
    <row r="33" spans="1:9" x14ac:dyDescent="0.45">
      <c r="A33" s="96">
        <v>7.9</v>
      </c>
      <c r="B33" s="96">
        <v>83</v>
      </c>
      <c r="C33" s="96">
        <v>3.6</v>
      </c>
      <c r="D33" s="96">
        <v>2</v>
      </c>
      <c r="E33" s="16">
        <v>1360</v>
      </c>
      <c r="F33" s="97"/>
      <c r="G33" s="97"/>
      <c r="H33" s="97"/>
      <c r="I33" s="97"/>
    </row>
    <row r="34" spans="1:9" x14ac:dyDescent="0.45">
      <c r="A34" s="96">
        <v>10.7</v>
      </c>
      <c r="B34" s="96">
        <v>77.5</v>
      </c>
      <c r="C34" s="96">
        <v>17.7</v>
      </c>
      <c r="D34" s="96">
        <v>2</v>
      </c>
      <c r="E34" s="16">
        <v>1526</v>
      </c>
      <c r="F34" s="97"/>
      <c r="G34" s="97"/>
      <c r="H34" s="97"/>
      <c r="I34" s="97"/>
    </row>
    <row r="35" spans="1:9" x14ac:dyDescent="0.45">
      <c r="A35" s="96">
        <v>7.7</v>
      </c>
      <c r="B35" s="96">
        <v>43.8</v>
      </c>
      <c r="C35" s="96">
        <v>18.600000000000001</v>
      </c>
      <c r="D35" s="96">
        <v>1</v>
      </c>
      <c r="E35" s="16">
        <v>1550</v>
      </c>
      <c r="F35" s="97"/>
      <c r="G35" s="97"/>
      <c r="H35" s="97"/>
      <c r="I35" s="97"/>
    </row>
    <row r="36" spans="1:9" x14ac:dyDescent="0.45">
      <c r="A36" s="96">
        <v>8.6999999999999993</v>
      </c>
      <c r="B36" s="96">
        <v>58.5</v>
      </c>
      <c r="C36" s="96">
        <v>8.6</v>
      </c>
      <c r="D36" s="96">
        <v>2</v>
      </c>
      <c r="E36" s="16">
        <v>1708</v>
      </c>
      <c r="F36" s="97"/>
      <c r="G36" s="97"/>
      <c r="H36" s="97"/>
      <c r="I36" s="97"/>
    </row>
    <row r="37" spans="1:9" x14ac:dyDescent="0.45">
      <c r="A37" s="96">
        <v>9.6</v>
      </c>
      <c r="B37" s="96">
        <v>92.9</v>
      </c>
      <c r="C37" s="96">
        <v>10.8</v>
      </c>
      <c r="D37" s="96">
        <v>2</v>
      </c>
      <c r="E37" s="16">
        <v>1005</v>
      </c>
      <c r="F37" s="97"/>
      <c r="G37" s="97"/>
      <c r="H37" s="97"/>
      <c r="I37" s="97"/>
    </row>
    <row r="38" spans="1:9" x14ac:dyDescent="0.45">
      <c r="A38" s="96">
        <v>11.7</v>
      </c>
      <c r="B38" s="96">
        <v>56.8</v>
      </c>
      <c r="C38" s="96">
        <v>9.5</v>
      </c>
      <c r="D38" s="96">
        <v>1</v>
      </c>
      <c r="E38" s="16">
        <v>1623</v>
      </c>
      <c r="F38" s="97"/>
      <c r="G38" s="97"/>
      <c r="H38" s="97"/>
      <c r="I38" s="97"/>
    </row>
    <row r="39" spans="1:9" x14ac:dyDescent="0.45">
      <c r="A39" s="96">
        <v>11.1</v>
      </c>
      <c r="B39" s="96">
        <v>73.8</v>
      </c>
      <c r="C39" s="96">
        <v>3</v>
      </c>
      <c r="D39" s="96">
        <v>1</v>
      </c>
      <c r="E39" s="16">
        <v>1712</v>
      </c>
      <c r="F39" s="97"/>
      <c r="G39" s="97"/>
      <c r="H39" s="97"/>
      <c r="I39" s="97"/>
    </row>
    <row r="40" spans="1:9" x14ac:dyDescent="0.45">
      <c r="A40" s="96">
        <v>9.1</v>
      </c>
      <c r="B40" s="96">
        <v>53.8</v>
      </c>
      <c r="C40" s="96">
        <v>24.3</v>
      </c>
      <c r="D40" s="96">
        <v>1</v>
      </c>
      <c r="E40" s="16">
        <v>1530</v>
      </c>
      <c r="F40" s="97"/>
      <c r="G40" s="97"/>
      <c r="H40" s="97"/>
      <c r="I40" s="97"/>
    </row>
    <row r="41" spans="1:9" x14ac:dyDescent="0.45">
      <c r="A41" s="96">
        <v>5.5</v>
      </c>
      <c r="B41" s="96">
        <v>49.5</v>
      </c>
      <c r="C41" s="96">
        <v>12.7</v>
      </c>
      <c r="D41" s="96">
        <v>2</v>
      </c>
      <c r="E41" s="16">
        <v>1605</v>
      </c>
      <c r="F41" s="97"/>
      <c r="G41" s="97"/>
      <c r="H41" s="97"/>
      <c r="I41" s="97"/>
    </row>
    <row r="42" spans="1:9" x14ac:dyDescent="0.45">
      <c r="A42" s="96">
        <v>5.9</v>
      </c>
      <c r="B42" s="96">
        <v>43.7</v>
      </c>
      <c r="C42" s="96">
        <v>14.9</v>
      </c>
      <c r="D42" s="96">
        <v>1</v>
      </c>
      <c r="E42" s="16">
        <v>1538</v>
      </c>
      <c r="F42" s="97"/>
      <c r="G42" s="97"/>
      <c r="H42" s="97"/>
      <c r="I42" s="97"/>
    </row>
    <row r="43" spans="1:9" x14ac:dyDescent="0.45">
      <c r="A43" s="96">
        <v>7.8</v>
      </c>
      <c r="B43" s="96">
        <v>50.6</v>
      </c>
      <c r="C43" s="96">
        <v>7.3</v>
      </c>
      <c r="D43" s="96">
        <v>1</v>
      </c>
      <c r="E43" s="16">
        <v>1746</v>
      </c>
      <c r="F43" s="97"/>
      <c r="G43" s="97"/>
      <c r="H43" s="97"/>
      <c r="I43" s="97"/>
    </row>
    <row r="44" spans="1:9" x14ac:dyDescent="0.45">
      <c r="A44" s="96">
        <v>9.1</v>
      </c>
      <c r="B44" s="96">
        <v>54.4</v>
      </c>
      <c r="C44" s="96">
        <v>13.6</v>
      </c>
      <c r="D44" s="96">
        <v>1</v>
      </c>
      <c r="E44" s="16">
        <v>1472</v>
      </c>
      <c r="F44" s="97"/>
      <c r="G44" s="97"/>
      <c r="H44" s="97"/>
      <c r="I44" s="97"/>
    </row>
    <row r="45" spans="1:9" x14ac:dyDescent="0.45">
      <c r="A45" s="96">
        <v>13</v>
      </c>
      <c r="B45" s="96">
        <v>45.7</v>
      </c>
      <c r="C45" s="96">
        <v>17.5</v>
      </c>
      <c r="D45" s="96">
        <v>1</v>
      </c>
      <c r="E45" s="16">
        <v>1589</v>
      </c>
      <c r="F45" s="97"/>
      <c r="G45" s="97"/>
      <c r="H45" s="97"/>
      <c r="I45" s="97"/>
    </row>
    <row r="46" spans="1:9" x14ac:dyDescent="0.45">
      <c r="A46" s="96">
        <v>17</v>
      </c>
      <c r="B46" s="96">
        <v>37.6</v>
      </c>
      <c r="C46" s="96">
        <v>28</v>
      </c>
      <c r="D46" s="96">
        <v>1</v>
      </c>
      <c r="E46" s="16">
        <v>1913</v>
      </c>
      <c r="F46" s="97"/>
      <c r="G46" s="97"/>
      <c r="H46" s="97"/>
      <c r="I46" s="97"/>
    </row>
    <row r="47" spans="1:9" x14ac:dyDescent="0.45">
      <c r="A47" s="96">
        <v>10.9</v>
      </c>
      <c r="B47" s="96">
        <v>31.4</v>
      </c>
      <c r="C47" s="96">
        <v>19.5</v>
      </c>
      <c r="D47" s="96">
        <v>1</v>
      </c>
      <c r="E47" s="16">
        <v>1815</v>
      </c>
      <c r="F47" s="97"/>
      <c r="G47" s="97"/>
      <c r="H47" s="97"/>
      <c r="I47" s="97"/>
    </row>
    <row r="48" spans="1:9" x14ac:dyDescent="0.45">
      <c r="A48" s="96">
        <v>13</v>
      </c>
      <c r="B48" s="96">
        <v>42.3</v>
      </c>
      <c r="C48" s="96">
        <v>16.899999999999999</v>
      </c>
      <c r="D48" s="96">
        <v>1</v>
      </c>
      <c r="E48" s="16">
        <v>2115</v>
      </c>
      <c r="F48" s="97"/>
      <c r="G48" s="97"/>
      <c r="H48" s="97"/>
      <c r="I48" s="97"/>
    </row>
    <row r="49" spans="1:9" x14ac:dyDescent="0.45">
      <c r="A49" s="96">
        <v>17.899999999999999</v>
      </c>
      <c r="B49" s="96">
        <v>50.5</v>
      </c>
      <c r="C49" s="96">
        <v>15.4</v>
      </c>
      <c r="D49" s="96">
        <v>1</v>
      </c>
      <c r="E49" s="16">
        <v>2475</v>
      </c>
      <c r="F49" s="97"/>
      <c r="G49" s="97"/>
      <c r="H49" s="97"/>
      <c r="I49" s="97"/>
    </row>
    <row r="50" spans="1:9" x14ac:dyDescent="0.45">
      <c r="A50" s="96">
        <v>21.4</v>
      </c>
      <c r="B50" s="96">
        <v>51.7</v>
      </c>
      <c r="C50" s="96">
        <v>17.7</v>
      </c>
      <c r="D50" s="96">
        <v>1</v>
      </c>
      <c r="E50" s="16">
        <v>2927</v>
      </c>
      <c r="F50" s="97"/>
      <c r="G50" s="97"/>
      <c r="H50" s="97"/>
      <c r="I50" s="97"/>
    </row>
    <row r="51" spans="1:9" x14ac:dyDescent="0.45">
      <c r="A51" s="96">
        <v>16.399999999999999</v>
      </c>
      <c r="B51" s="96">
        <v>18.8</v>
      </c>
      <c r="C51" s="96">
        <v>34</v>
      </c>
      <c r="D51" s="96">
        <v>1</v>
      </c>
      <c r="E51" s="16">
        <v>1635</v>
      </c>
      <c r="F51" s="97"/>
      <c r="G51" s="97"/>
      <c r="H51" s="97"/>
      <c r="I51" s="97"/>
    </row>
    <row r="52" spans="1:9" x14ac:dyDescent="0.45">
      <c r="A52" s="96">
        <v>11.7</v>
      </c>
      <c r="B52" s="96">
        <v>40.799999999999997</v>
      </c>
      <c r="C52" s="96">
        <v>15</v>
      </c>
      <c r="D52" s="96">
        <v>1</v>
      </c>
      <c r="E52" s="16">
        <v>1812</v>
      </c>
      <c r="F52" s="97"/>
      <c r="G52" s="97"/>
      <c r="H52" s="97"/>
      <c r="I52" s="97"/>
    </row>
    <row r="53" spans="1:9" x14ac:dyDescent="0.45">
      <c r="A53" s="96">
        <v>12.4</v>
      </c>
      <c r="B53" s="96">
        <v>60.5</v>
      </c>
      <c r="C53" s="96">
        <v>20.6</v>
      </c>
      <c r="D53" s="96">
        <v>2</v>
      </c>
      <c r="E53" s="16">
        <v>1107</v>
      </c>
      <c r="F53" s="97"/>
      <c r="G53" s="97"/>
      <c r="H53" s="97"/>
      <c r="I53" s="97"/>
    </row>
    <row r="54" spans="1:9" x14ac:dyDescent="0.45">
      <c r="A54" s="96">
        <v>7.5</v>
      </c>
      <c r="B54" s="96">
        <v>57.8</v>
      </c>
      <c r="C54" s="96">
        <v>13.1</v>
      </c>
      <c r="D54" s="96">
        <v>1</v>
      </c>
      <c r="E54" s="16">
        <v>1450</v>
      </c>
      <c r="F54" s="97"/>
      <c r="G54" s="97"/>
      <c r="H54" s="97"/>
      <c r="I54" s="97"/>
    </row>
    <row r="55" spans="1:9" x14ac:dyDescent="0.45">
      <c r="A55" s="96">
        <v>9.1</v>
      </c>
      <c r="B55" s="96">
        <v>42.3</v>
      </c>
      <c r="C55" s="96">
        <v>6.3</v>
      </c>
      <c r="D55" s="96">
        <v>1</v>
      </c>
      <c r="E55" s="16">
        <v>1917</v>
      </c>
      <c r="F55" s="97"/>
      <c r="G55" s="97"/>
      <c r="H55" s="97"/>
      <c r="I55" s="97"/>
    </row>
    <row r="56" spans="1:9" x14ac:dyDescent="0.45">
      <c r="A56" s="96">
        <v>12.1</v>
      </c>
      <c r="B56" s="96">
        <v>69.7</v>
      </c>
      <c r="C56" s="96">
        <v>16.8</v>
      </c>
      <c r="D56" s="96">
        <v>2</v>
      </c>
      <c r="E56" s="16">
        <v>1807</v>
      </c>
      <c r="F56" s="97"/>
      <c r="G56" s="97"/>
      <c r="H56" s="97"/>
      <c r="I56" s="97"/>
    </row>
    <row r="57" spans="1:9" x14ac:dyDescent="0.45">
      <c r="A57" s="96">
        <v>14.9</v>
      </c>
      <c r="B57" s="96">
        <v>71.2</v>
      </c>
      <c r="C57" s="96">
        <v>23.2</v>
      </c>
      <c r="D57" s="96">
        <v>2</v>
      </c>
      <c r="E57" s="16">
        <v>1461</v>
      </c>
      <c r="F57" s="97"/>
      <c r="G57" s="97"/>
      <c r="H57" s="97"/>
      <c r="I57" s="97"/>
    </row>
    <row r="58" spans="1:9" x14ac:dyDescent="0.45">
      <c r="A58" s="96">
        <v>11.6</v>
      </c>
      <c r="B58" s="96">
        <v>53.8</v>
      </c>
      <c r="C58" s="96">
        <v>12.5</v>
      </c>
      <c r="D58" s="96">
        <v>1</v>
      </c>
      <c r="E58" s="16">
        <v>1969</v>
      </c>
      <c r="F58" s="97"/>
      <c r="G58" s="97"/>
      <c r="H58" s="97"/>
      <c r="I58" s="97"/>
    </row>
    <row r="59" spans="1:9" x14ac:dyDescent="0.45">
      <c r="A59" s="96">
        <v>14.1</v>
      </c>
      <c r="B59" s="96">
        <v>68</v>
      </c>
      <c r="C59" s="96">
        <v>8.4</v>
      </c>
      <c r="D59" s="96">
        <v>1</v>
      </c>
      <c r="E59" s="16">
        <v>2402</v>
      </c>
      <c r="F59" s="97"/>
      <c r="G59" s="97"/>
      <c r="H59" s="97"/>
      <c r="I59" s="97"/>
    </row>
    <row r="60" spans="1:9" x14ac:dyDescent="0.45">
      <c r="A60" s="96">
        <v>16.7</v>
      </c>
      <c r="B60" s="96">
        <v>87.6</v>
      </c>
      <c r="C60" s="96">
        <v>19.399999999999999</v>
      </c>
      <c r="D60" s="96">
        <v>2</v>
      </c>
      <c r="E60" s="16">
        <v>1446</v>
      </c>
      <c r="F60" s="97"/>
      <c r="G60" s="97"/>
      <c r="H60" s="97"/>
      <c r="I60" s="97"/>
    </row>
    <row r="61" spans="1:9" x14ac:dyDescent="0.45">
      <c r="A61" s="96">
        <v>10.9</v>
      </c>
      <c r="B61" s="96">
        <v>53.5</v>
      </c>
      <c r="C61" s="96">
        <v>14.5</v>
      </c>
      <c r="D61" s="96">
        <v>1</v>
      </c>
      <c r="E61" s="16">
        <v>1851</v>
      </c>
      <c r="F61" s="97"/>
      <c r="G61" s="97"/>
      <c r="H61" s="97"/>
      <c r="I61" s="97"/>
    </row>
    <row r="62" spans="1:9" x14ac:dyDescent="0.45">
      <c r="A62" s="96">
        <v>13.7</v>
      </c>
      <c r="B62" s="96">
        <v>45</v>
      </c>
      <c r="C62" s="96">
        <v>20.6</v>
      </c>
      <c r="D62" s="96">
        <v>1</v>
      </c>
      <c r="E62" s="16">
        <v>2134</v>
      </c>
      <c r="F62" s="97"/>
      <c r="G62" s="97"/>
      <c r="H62" s="97"/>
      <c r="I62" s="97"/>
    </row>
    <row r="63" spans="1:9" x14ac:dyDescent="0.45">
      <c r="A63" s="96">
        <v>8.1</v>
      </c>
      <c r="B63" s="96">
        <v>31.8</v>
      </c>
      <c r="C63" s="96">
        <v>15.1</v>
      </c>
      <c r="D63" s="96">
        <v>1</v>
      </c>
      <c r="E63" s="16">
        <v>1685</v>
      </c>
      <c r="F63" s="97"/>
      <c r="G63" s="97"/>
      <c r="H63" s="97"/>
      <c r="I63" s="97"/>
    </row>
    <row r="64" spans="1:9" x14ac:dyDescent="0.45">
      <c r="A64" s="96">
        <v>10.7</v>
      </c>
      <c r="B64" s="96">
        <v>61</v>
      </c>
      <c r="C64" s="96">
        <v>13.6</v>
      </c>
      <c r="D64" s="96">
        <v>2</v>
      </c>
      <c r="E64" s="16">
        <v>1944</v>
      </c>
      <c r="F64" s="97"/>
      <c r="G64" s="97"/>
      <c r="H64" s="97"/>
      <c r="I64" s="97"/>
    </row>
    <row r="65" spans="1:9" x14ac:dyDescent="0.45">
      <c r="A65" s="96">
        <v>15.8</v>
      </c>
      <c r="B65" s="96">
        <v>78.900000000000006</v>
      </c>
      <c r="C65" s="96">
        <v>16.899999999999999</v>
      </c>
      <c r="D65" s="96">
        <v>2</v>
      </c>
      <c r="E65" s="16">
        <v>2077</v>
      </c>
      <c r="F65" s="97"/>
      <c r="G65" s="97"/>
      <c r="H65" s="97"/>
      <c r="I65" s="97"/>
    </row>
    <row r="66" spans="1:9" x14ac:dyDescent="0.45">
      <c r="A66" s="96">
        <v>15.4</v>
      </c>
      <c r="B66" s="96">
        <v>94.8</v>
      </c>
      <c r="C66" s="96">
        <v>23</v>
      </c>
      <c r="D66" s="96">
        <v>2</v>
      </c>
      <c r="E66" s="16">
        <v>605</v>
      </c>
      <c r="F66" s="97"/>
      <c r="G66" s="97"/>
      <c r="H66" s="97"/>
      <c r="I66" s="97"/>
    </row>
    <row r="67" spans="1:9" x14ac:dyDescent="0.45">
      <c r="A67" s="96">
        <v>10.7</v>
      </c>
      <c r="B67" s="96">
        <v>55.1</v>
      </c>
      <c r="C67" s="96">
        <v>22.9</v>
      </c>
      <c r="D67" s="96">
        <v>1</v>
      </c>
      <c r="E67" s="16">
        <v>1872</v>
      </c>
      <c r="F67" s="97"/>
      <c r="G67" s="97"/>
      <c r="H67" s="97"/>
      <c r="I67" s="97"/>
    </row>
    <row r="68" spans="1:9" x14ac:dyDescent="0.45">
      <c r="A68" s="96">
        <v>12</v>
      </c>
      <c r="B68" s="96">
        <v>42.1</v>
      </c>
      <c r="C68" s="96">
        <v>8.1</v>
      </c>
      <c r="D68" s="96">
        <v>1</v>
      </c>
      <c r="E68" s="16">
        <v>2133</v>
      </c>
      <c r="F68" s="97"/>
      <c r="G68" s="97"/>
      <c r="H68" s="97"/>
      <c r="I68" s="97"/>
    </row>
    <row r="69" spans="1:9" x14ac:dyDescent="0.45">
      <c r="A69" s="96">
        <v>12.1</v>
      </c>
      <c r="B69" s="96">
        <v>77.5</v>
      </c>
      <c r="C69" s="96">
        <v>14.8</v>
      </c>
      <c r="D69" s="96">
        <v>2</v>
      </c>
      <c r="E69" s="16">
        <v>1891</v>
      </c>
      <c r="F69" s="97"/>
      <c r="G69" s="97"/>
      <c r="H69" s="97"/>
      <c r="I69" s="97"/>
    </row>
    <row r="70" spans="1:9" x14ac:dyDescent="0.45">
      <c r="A70" s="96">
        <v>16</v>
      </c>
      <c r="B70" s="96">
        <v>91.4</v>
      </c>
      <c r="C70" s="96">
        <v>17.5</v>
      </c>
      <c r="D70" s="96">
        <v>3</v>
      </c>
      <c r="E70" s="16">
        <v>623</v>
      </c>
      <c r="F70" s="97"/>
      <c r="G70" s="97"/>
      <c r="H70" s="97"/>
      <c r="I70" s="97"/>
    </row>
    <row r="71" spans="1:9" x14ac:dyDescent="0.45">
      <c r="A71" s="96">
        <v>13</v>
      </c>
      <c r="B71" s="96">
        <v>65</v>
      </c>
      <c r="C71" s="96">
        <v>15.6</v>
      </c>
      <c r="D71" s="96">
        <v>2</v>
      </c>
      <c r="E71" s="16">
        <v>1977</v>
      </c>
      <c r="F71" s="97"/>
      <c r="G71" s="97"/>
      <c r="H71" s="97"/>
      <c r="I71" s="97"/>
    </row>
    <row r="72" spans="1:9" x14ac:dyDescent="0.45">
      <c r="A72" s="96">
        <v>13.5</v>
      </c>
      <c r="B72" s="96">
        <v>59.5</v>
      </c>
      <c r="C72" s="96">
        <v>14.8</v>
      </c>
      <c r="D72" s="96">
        <v>1</v>
      </c>
      <c r="E72" s="16">
        <v>2132</v>
      </c>
      <c r="F72" s="97"/>
      <c r="G72" s="97"/>
      <c r="H72" s="97"/>
      <c r="I72" s="97"/>
    </row>
    <row r="73" spans="1:9" x14ac:dyDescent="0.45">
      <c r="A73" s="96">
        <v>15.8</v>
      </c>
      <c r="B73" s="96">
        <v>52.7</v>
      </c>
      <c r="C73" s="96">
        <v>18.100000000000001</v>
      </c>
      <c r="D73" s="96">
        <v>1</v>
      </c>
      <c r="E73" s="16">
        <v>2417</v>
      </c>
      <c r="F73" s="97"/>
      <c r="G73" s="97"/>
      <c r="H73" s="97"/>
      <c r="I73" s="97"/>
    </row>
    <row r="74" spans="1:9" x14ac:dyDescent="0.45">
      <c r="A74" s="96">
        <v>13.3</v>
      </c>
      <c r="B74" s="96">
        <v>49.7</v>
      </c>
      <c r="C74" s="96">
        <v>9.1999999999999993</v>
      </c>
      <c r="D74" s="96">
        <v>1</v>
      </c>
      <c r="E74" s="16">
        <v>2046</v>
      </c>
      <c r="F74" s="97"/>
      <c r="G74" s="97"/>
      <c r="H74" s="97"/>
      <c r="I74" s="97"/>
    </row>
    <row r="75" spans="1:9" x14ac:dyDescent="0.45">
      <c r="A75" s="96">
        <v>13</v>
      </c>
      <c r="B75" s="96">
        <v>65.599999999999994</v>
      </c>
      <c r="C75" s="96">
        <v>12.3</v>
      </c>
      <c r="D75" s="96">
        <v>2</v>
      </c>
      <c r="E75" s="16">
        <v>2056</v>
      </c>
      <c r="F75" s="97"/>
      <c r="G75" s="97"/>
      <c r="H75" s="97"/>
      <c r="I75" s="97"/>
    </row>
    <row r="76" spans="1:9" x14ac:dyDescent="0.45">
      <c r="A76" s="96">
        <v>15</v>
      </c>
      <c r="B76" s="96">
        <v>77.7</v>
      </c>
      <c r="C76" s="96">
        <v>13.6</v>
      </c>
      <c r="D76" s="96">
        <v>2</v>
      </c>
      <c r="E76" s="16">
        <v>2192</v>
      </c>
      <c r="F76" s="97"/>
      <c r="G76" s="97"/>
      <c r="H76" s="97"/>
      <c r="I76" s="97"/>
    </row>
    <row r="77" spans="1:9" x14ac:dyDescent="0.45">
      <c r="A77" s="96">
        <v>17</v>
      </c>
      <c r="B77" s="96">
        <v>60.3</v>
      </c>
      <c r="C77" s="96">
        <v>14</v>
      </c>
      <c r="D77" s="96">
        <v>1</v>
      </c>
      <c r="E77" s="16">
        <v>2744</v>
      </c>
      <c r="F77" s="97"/>
      <c r="G77" s="97"/>
      <c r="H77" s="97"/>
      <c r="I77" s="97"/>
    </row>
    <row r="78" spans="1:9" x14ac:dyDescent="0.45">
      <c r="A78" s="96">
        <v>22.1</v>
      </c>
      <c r="B78" s="96">
        <v>52.5</v>
      </c>
      <c r="C78" s="96">
        <v>15.5</v>
      </c>
      <c r="D78" s="96">
        <v>1</v>
      </c>
      <c r="E78" s="16">
        <v>3239</v>
      </c>
      <c r="F78" s="97"/>
      <c r="G78" s="97"/>
      <c r="H78" s="97"/>
      <c r="I78" s="97"/>
    </row>
    <row r="79" spans="1:9" x14ac:dyDescent="0.45">
      <c r="A79" s="96">
        <v>19.399999999999999</v>
      </c>
      <c r="B79" s="96">
        <v>37.9</v>
      </c>
      <c r="C79" s="96">
        <v>24.7</v>
      </c>
      <c r="D79" s="96">
        <v>1</v>
      </c>
      <c r="E79" s="16">
        <v>3117</v>
      </c>
      <c r="F79" s="97"/>
      <c r="G79" s="97"/>
      <c r="H79" s="97"/>
      <c r="I79" s="97"/>
    </row>
    <row r="80" spans="1:9" x14ac:dyDescent="0.45">
      <c r="A80" s="96">
        <v>13.6</v>
      </c>
      <c r="B80" s="96">
        <v>47.4</v>
      </c>
      <c r="C80" s="96">
        <v>13.9</v>
      </c>
      <c r="D80" s="96">
        <v>1</v>
      </c>
      <c r="E80" s="16">
        <v>2471</v>
      </c>
      <c r="F80" s="97"/>
      <c r="G80" s="97"/>
      <c r="H80" s="97"/>
      <c r="I80" s="97"/>
    </row>
    <row r="81" spans="1:9" x14ac:dyDescent="0.45">
      <c r="A81" s="96">
        <v>17.600000000000001</v>
      </c>
      <c r="B81" s="96">
        <v>73.7</v>
      </c>
      <c r="C81" s="96">
        <v>19.3</v>
      </c>
      <c r="D81" s="96">
        <v>2</v>
      </c>
      <c r="E81" s="16">
        <v>2077</v>
      </c>
      <c r="F81" s="97"/>
      <c r="G81" s="97"/>
      <c r="H81" s="97"/>
      <c r="I81" s="97"/>
    </row>
    <row r="82" spans="1:9" x14ac:dyDescent="0.45">
      <c r="A82" s="96">
        <v>18.100000000000001</v>
      </c>
      <c r="B82" s="96">
        <v>62.5</v>
      </c>
      <c r="C82" s="96">
        <v>15.1</v>
      </c>
      <c r="D82" s="96">
        <v>1</v>
      </c>
      <c r="E82" s="16">
        <v>2703</v>
      </c>
      <c r="F82" s="97"/>
      <c r="G82" s="97"/>
      <c r="H82" s="97"/>
      <c r="I82" s="97"/>
    </row>
    <row r="83" spans="1:9" x14ac:dyDescent="0.45">
      <c r="A83" s="96">
        <v>14.2</v>
      </c>
      <c r="B83" s="96">
        <v>84</v>
      </c>
      <c r="C83" s="96">
        <v>15.7</v>
      </c>
      <c r="D83" s="96">
        <v>2</v>
      </c>
      <c r="E83" s="16">
        <v>2121</v>
      </c>
      <c r="F83" s="97"/>
      <c r="G83" s="97"/>
      <c r="H83" s="97"/>
      <c r="I83" s="97"/>
    </row>
    <row r="84" spans="1:9" x14ac:dyDescent="0.45">
      <c r="A84" s="96">
        <v>11.7</v>
      </c>
      <c r="B84" s="96">
        <v>80.599999999999994</v>
      </c>
      <c r="C84" s="96">
        <v>16.3</v>
      </c>
      <c r="D84" s="96">
        <v>2</v>
      </c>
      <c r="E84" s="16">
        <v>1865</v>
      </c>
      <c r="F84" s="97"/>
      <c r="G84" s="97"/>
      <c r="H84" s="97"/>
      <c r="I84" s="97"/>
    </row>
    <row r="85" spans="1:9" x14ac:dyDescent="0.45">
      <c r="A85" s="96">
        <v>10.8</v>
      </c>
      <c r="B85" s="96">
        <v>49.5</v>
      </c>
      <c r="C85" s="96">
        <v>15.5</v>
      </c>
      <c r="D85" s="96">
        <v>1</v>
      </c>
      <c r="E85" s="16">
        <v>2210</v>
      </c>
      <c r="F85" s="97"/>
      <c r="G85" s="97"/>
      <c r="H85" s="97"/>
      <c r="I85" s="97"/>
    </row>
    <row r="86" spans="1:9" x14ac:dyDescent="0.45">
      <c r="A86" s="96">
        <v>10.9</v>
      </c>
      <c r="B86" s="96">
        <v>39.4</v>
      </c>
      <c r="C86" s="96">
        <v>14</v>
      </c>
      <c r="D86" s="96">
        <v>1</v>
      </c>
      <c r="E86" s="16">
        <v>2496</v>
      </c>
      <c r="F86" s="97"/>
      <c r="G86" s="97"/>
      <c r="H86" s="97"/>
      <c r="I86" s="97"/>
    </row>
    <row r="87" spans="1:9" x14ac:dyDescent="0.45">
      <c r="A87" s="96">
        <v>10.4</v>
      </c>
      <c r="B87" s="96">
        <v>49.4</v>
      </c>
      <c r="C87" s="96">
        <v>12.3</v>
      </c>
      <c r="D87" s="96">
        <v>2</v>
      </c>
      <c r="E87" s="16">
        <v>1693</v>
      </c>
      <c r="F87" s="97"/>
      <c r="G87" s="97"/>
      <c r="H87" s="97"/>
      <c r="I87" s="97"/>
    </row>
    <row r="88" spans="1:9" x14ac:dyDescent="0.45">
      <c r="A88" s="96">
        <v>10.8</v>
      </c>
      <c r="B88" s="96">
        <v>30.2</v>
      </c>
      <c r="C88" s="96">
        <v>14.2</v>
      </c>
      <c r="D88" s="96">
        <v>1</v>
      </c>
      <c r="E88" s="16">
        <v>2028</v>
      </c>
      <c r="F88" s="97"/>
      <c r="G88" s="97"/>
      <c r="H88" s="97"/>
      <c r="I88" s="97"/>
    </row>
    <row r="89" spans="1:9" x14ac:dyDescent="0.45">
      <c r="A89" s="96">
        <v>12.4</v>
      </c>
      <c r="B89" s="96">
        <v>31.4</v>
      </c>
      <c r="C89" s="96">
        <v>15.2</v>
      </c>
      <c r="D89" s="96">
        <v>1</v>
      </c>
      <c r="E89" s="16">
        <v>2425</v>
      </c>
      <c r="F89" s="97"/>
      <c r="G89" s="97"/>
      <c r="H89" s="97"/>
      <c r="I89" s="97"/>
    </row>
    <row r="90" spans="1:9" x14ac:dyDescent="0.45">
      <c r="A90" s="96">
        <v>12.3</v>
      </c>
      <c r="B90" s="96">
        <v>64.7</v>
      </c>
      <c r="C90" s="96">
        <v>11.6</v>
      </c>
      <c r="D90" s="96">
        <v>2</v>
      </c>
      <c r="E90" s="16">
        <v>1536</v>
      </c>
      <c r="F90" s="97"/>
      <c r="G90" s="97"/>
      <c r="H90" s="97"/>
      <c r="I90" s="97"/>
    </row>
    <row r="91" spans="1:9" x14ac:dyDescent="0.45">
      <c r="A91" s="96">
        <v>11</v>
      </c>
      <c r="B91" s="96">
        <v>91.8</v>
      </c>
      <c r="C91" s="96">
        <v>14.6</v>
      </c>
      <c r="D91" s="96">
        <v>3</v>
      </c>
      <c r="E91" s="16">
        <v>1685</v>
      </c>
      <c r="F91" s="97"/>
      <c r="G91" s="97"/>
      <c r="H91" s="97"/>
      <c r="I91" s="97"/>
    </row>
    <row r="92" spans="1:9" x14ac:dyDescent="0.45">
      <c r="A92" s="96">
        <v>12.3</v>
      </c>
      <c r="B92" s="96">
        <v>68.599999999999994</v>
      </c>
      <c r="C92" s="96">
        <v>17.3</v>
      </c>
      <c r="D92" s="96">
        <v>2</v>
      </c>
      <c r="E92" s="16">
        <v>2227</v>
      </c>
      <c r="F92" s="97"/>
      <c r="G92" s="97"/>
      <c r="H92" s="97"/>
      <c r="I92" s="97"/>
    </row>
    <row r="93" spans="1:9" x14ac:dyDescent="0.45">
      <c r="A93" s="96">
        <v>12.9</v>
      </c>
      <c r="B93" s="96">
        <v>65.400000000000006</v>
      </c>
      <c r="C93" s="96">
        <v>13.2</v>
      </c>
      <c r="D93" s="96">
        <v>2</v>
      </c>
      <c r="E93" s="16">
        <v>2252</v>
      </c>
      <c r="F93" s="97"/>
      <c r="G93" s="97"/>
      <c r="H93" s="97"/>
      <c r="I93" s="97"/>
    </row>
    <row r="94" spans="1:9" x14ac:dyDescent="0.45">
      <c r="A94" s="96">
        <v>15.5</v>
      </c>
      <c r="B94" s="96">
        <v>48</v>
      </c>
      <c r="C94" s="96">
        <v>12.2</v>
      </c>
      <c r="D94" s="96">
        <v>1</v>
      </c>
      <c r="E94" s="16">
        <v>3249</v>
      </c>
      <c r="F94" s="97"/>
      <c r="G94" s="97"/>
      <c r="H94" s="97"/>
      <c r="I94" s="97"/>
    </row>
    <row r="95" spans="1:9" x14ac:dyDescent="0.45">
      <c r="A95" s="96">
        <v>23.5</v>
      </c>
      <c r="B95" s="96">
        <v>42.6</v>
      </c>
      <c r="C95" s="96">
        <v>25.8</v>
      </c>
      <c r="D95" s="96">
        <v>1</v>
      </c>
      <c r="E95" s="16">
        <v>3115</v>
      </c>
      <c r="F95" s="97"/>
      <c r="G95" s="97"/>
      <c r="H95" s="97"/>
      <c r="I95" s="97"/>
    </row>
    <row r="96" spans="1:9" x14ac:dyDescent="0.45">
      <c r="A96" s="96">
        <v>17</v>
      </c>
      <c r="B96" s="96">
        <v>64.2</v>
      </c>
      <c r="C96" s="96">
        <v>26</v>
      </c>
      <c r="D96" s="96">
        <v>2</v>
      </c>
      <c r="E96" s="16">
        <v>1795</v>
      </c>
      <c r="F96" s="97"/>
      <c r="G96" s="97"/>
      <c r="H96" s="97"/>
      <c r="I96" s="97"/>
    </row>
    <row r="97" spans="1:9" x14ac:dyDescent="0.45">
      <c r="A97" s="96">
        <v>16</v>
      </c>
      <c r="B97" s="96">
        <v>47.1</v>
      </c>
      <c r="C97" s="96">
        <v>17.600000000000001</v>
      </c>
      <c r="D97" s="96">
        <v>1</v>
      </c>
      <c r="E97" s="16">
        <v>2808</v>
      </c>
      <c r="F97" s="97"/>
      <c r="G97" s="97"/>
      <c r="H97" s="97"/>
      <c r="I97" s="97"/>
    </row>
    <row r="98" spans="1:9" x14ac:dyDescent="0.45">
      <c r="A98" s="96">
        <v>17.899999999999999</v>
      </c>
      <c r="B98" s="96">
        <v>60.3</v>
      </c>
      <c r="C98" s="96">
        <v>10.9</v>
      </c>
      <c r="D98" s="96">
        <v>1</v>
      </c>
      <c r="E98" s="16">
        <v>3141</v>
      </c>
      <c r="F98" s="97"/>
      <c r="G98" s="97"/>
      <c r="H98" s="97"/>
      <c r="I98" s="97"/>
    </row>
    <row r="99" spans="1:9" x14ac:dyDescent="0.45">
      <c r="A99" s="96">
        <v>13.8</v>
      </c>
      <c r="B99" s="96">
        <v>83.6</v>
      </c>
      <c r="C99" s="96">
        <v>15.2</v>
      </c>
      <c r="D99" s="96">
        <v>2</v>
      </c>
      <c r="E99" s="16">
        <v>1471</v>
      </c>
      <c r="F99" s="97"/>
      <c r="G99" s="97"/>
      <c r="H99" s="97"/>
      <c r="I99" s="97"/>
    </row>
    <row r="100" spans="1:9" x14ac:dyDescent="0.45">
      <c r="A100" s="96">
        <v>14</v>
      </c>
      <c r="B100" s="96">
        <v>87.8</v>
      </c>
      <c r="C100" s="96">
        <v>8.9</v>
      </c>
      <c r="D100" s="96">
        <v>2</v>
      </c>
      <c r="E100" s="16">
        <v>2455</v>
      </c>
      <c r="F100" s="97"/>
      <c r="G100" s="97"/>
      <c r="H100" s="97"/>
      <c r="I100" s="97"/>
    </row>
    <row r="101" spans="1:9" x14ac:dyDescent="0.45">
      <c r="A101" s="96">
        <v>17.5</v>
      </c>
      <c r="B101" s="96">
        <v>85.8</v>
      </c>
      <c r="C101" s="96">
        <v>9.8000000000000007</v>
      </c>
      <c r="D101" s="96">
        <v>2</v>
      </c>
      <c r="E101" s="16">
        <v>2895</v>
      </c>
      <c r="F101" s="97"/>
      <c r="G101" s="97"/>
      <c r="H101" s="97"/>
      <c r="I101" s="97"/>
    </row>
    <row r="102" spans="1:9" x14ac:dyDescent="0.45">
      <c r="A102" s="96">
        <v>24.4</v>
      </c>
      <c r="B102" s="96">
        <v>71.7</v>
      </c>
      <c r="C102" s="96">
        <v>21.7</v>
      </c>
      <c r="D102" s="96">
        <v>2</v>
      </c>
      <c r="E102" s="16">
        <v>3348</v>
      </c>
      <c r="F102" s="97"/>
      <c r="G102" s="97"/>
      <c r="H102" s="97"/>
      <c r="I102" s="97"/>
    </row>
    <row r="103" spans="1:9" x14ac:dyDescent="0.45">
      <c r="A103" s="96">
        <v>20.6</v>
      </c>
      <c r="B103" s="96">
        <v>73.900000000000006</v>
      </c>
      <c r="C103" s="96">
        <v>18.399999999999999</v>
      </c>
      <c r="D103" s="96">
        <v>2</v>
      </c>
      <c r="E103" s="16">
        <v>2034</v>
      </c>
      <c r="F103" s="97"/>
      <c r="G103" s="97"/>
      <c r="H103" s="97"/>
      <c r="I103" s="97"/>
    </row>
    <row r="104" spans="1:9" x14ac:dyDescent="0.45">
      <c r="A104" s="96">
        <v>16.899999999999999</v>
      </c>
      <c r="B104" s="96">
        <v>81.900000000000006</v>
      </c>
      <c r="C104" s="96">
        <v>16.8</v>
      </c>
      <c r="D104" s="96">
        <v>2</v>
      </c>
      <c r="E104" s="16">
        <v>2162</v>
      </c>
      <c r="F104" s="97"/>
      <c r="G104" s="97"/>
      <c r="H104" s="97"/>
      <c r="I104" s="97"/>
    </row>
    <row r="105" spans="1:9" x14ac:dyDescent="0.45">
      <c r="A105" s="96">
        <v>19.2</v>
      </c>
      <c r="B105" s="96">
        <v>54</v>
      </c>
      <c r="C105" s="96">
        <v>7.4</v>
      </c>
      <c r="D105" s="96">
        <v>1</v>
      </c>
      <c r="E105" s="16">
        <v>3267</v>
      </c>
      <c r="F105" s="97"/>
      <c r="G105" s="97"/>
      <c r="H105" s="97"/>
      <c r="I105" s="97"/>
    </row>
    <row r="106" spans="1:9" x14ac:dyDescent="0.45">
      <c r="A106" s="96">
        <v>18.3</v>
      </c>
      <c r="B106" s="96">
        <v>67.099999999999994</v>
      </c>
      <c r="C106" s="96">
        <v>15.2</v>
      </c>
      <c r="D106" s="96">
        <v>1</v>
      </c>
      <c r="E106" s="16">
        <v>3126</v>
      </c>
      <c r="F106" s="97"/>
      <c r="G106" s="97"/>
      <c r="H106" s="97"/>
      <c r="I106" s="97"/>
    </row>
    <row r="107" spans="1:9" x14ac:dyDescent="0.45">
      <c r="A107" s="96">
        <v>17.7</v>
      </c>
      <c r="B107" s="96">
        <v>88.8</v>
      </c>
      <c r="C107" s="96">
        <v>22.8</v>
      </c>
      <c r="D107" s="96">
        <v>3</v>
      </c>
      <c r="E107" s="16">
        <v>795</v>
      </c>
      <c r="F107" s="97"/>
      <c r="G107" s="97"/>
      <c r="H107" s="97"/>
      <c r="I107" s="97"/>
    </row>
    <row r="108" spans="1:9" x14ac:dyDescent="0.45">
      <c r="A108" s="96">
        <v>18.7</v>
      </c>
      <c r="B108" s="96">
        <v>48</v>
      </c>
      <c r="C108" s="96">
        <v>20.3</v>
      </c>
      <c r="D108" s="96">
        <v>1</v>
      </c>
      <c r="E108" s="16">
        <v>3744</v>
      </c>
      <c r="F108" s="97"/>
      <c r="G108" s="97"/>
      <c r="H108" s="97"/>
      <c r="I108" s="97"/>
    </row>
    <row r="109" spans="1:9" x14ac:dyDescent="0.45">
      <c r="A109" s="96">
        <v>21</v>
      </c>
      <c r="B109" s="96">
        <v>54.2</v>
      </c>
      <c r="C109" s="96">
        <v>11</v>
      </c>
      <c r="D109" s="96">
        <v>1</v>
      </c>
      <c r="E109" s="16">
        <v>3429</v>
      </c>
      <c r="F109" s="97"/>
      <c r="G109" s="97"/>
      <c r="H109" s="97"/>
      <c r="I109" s="97"/>
    </row>
    <row r="110" spans="1:9" x14ac:dyDescent="0.45">
      <c r="A110" s="96">
        <v>20.7</v>
      </c>
      <c r="B110" s="96">
        <v>66.599999999999994</v>
      </c>
      <c r="C110" s="96">
        <v>10.6</v>
      </c>
      <c r="D110" s="96">
        <v>2</v>
      </c>
      <c r="E110" s="16">
        <v>3204</v>
      </c>
      <c r="F110" s="97"/>
      <c r="G110" s="97"/>
      <c r="H110" s="97"/>
      <c r="I110" s="97"/>
    </row>
    <row r="111" spans="1:9" x14ac:dyDescent="0.45">
      <c r="A111" s="96">
        <v>24.4</v>
      </c>
      <c r="B111" s="96">
        <v>61.4</v>
      </c>
      <c r="C111" s="96">
        <v>16.2</v>
      </c>
      <c r="D111" s="96">
        <v>1</v>
      </c>
      <c r="E111" s="16">
        <v>3944</v>
      </c>
      <c r="F111" s="97"/>
      <c r="G111" s="97"/>
      <c r="H111" s="97"/>
      <c r="I111" s="97"/>
    </row>
    <row r="112" spans="1:9" x14ac:dyDescent="0.45">
      <c r="A112" s="96">
        <v>18.8</v>
      </c>
      <c r="B112" s="96">
        <v>40.700000000000003</v>
      </c>
      <c r="C112" s="96">
        <v>21.8</v>
      </c>
      <c r="D112" s="96">
        <v>1</v>
      </c>
      <c r="E112" s="16">
        <v>4189</v>
      </c>
      <c r="F112" s="97"/>
      <c r="G112" s="97"/>
      <c r="H112" s="97"/>
      <c r="I112" s="97"/>
    </row>
    <row r="113" spans="1:9" x14ac:dyDescent="0.45">
      <c r="A113" s="96">
        <v>13.8</v>
      </c>
      <c r="B113" s="96">
        <v>73</v>
      </c>
      <c r="C113" s="96">
        <v>14.7</v>
      </c>
      <c r="D113" s="96">
        <v>2</v>
      </c>
      <c r="E113" s="16">
        <v>1683</v>
      </c>
      <c r="F113" s="97"/>
      <c r="G113" s="97"/>
      <c r="H113" s="97"/>
      <c r="I113" s="97"/>
    </row>
    <row r="114" spans="1:9" x14ac:dyDescent="0.45">
      <c r="A114" s="96">
        <v>18.899999999999999</v>
      </c>
      <c r="B114" s="96">
        <v>88.8</v>
      </c>
      <c r="C114" s="96">
        <v>15.5</v>
      </c>
      <c r="D114" s="96">
        <v>2</v>
      </c>
      <c r="E114" s="16">
        <v>4036</v>
      </c>
      <c r="F114" s="97"/>
      <c r="G114" s="97"/>
      <c r="H114" s="97"/>
      <c r="I114" s="97"/>
    </row>
    <row r="115" spans="1:9" x14ac:dyDescent="0.45">
      <c r="A115" s="96">
        <v>23.8</v>
      </c>
      <c r="B115" s="96">
        <v>81.099999999999994</v>
      </c>
      <c r="C115" s="96">
        <v>12.9</v>
      </c>
      <c r="D115" s="96">
        <v>2</v>
      </c>
      <c r="E115" s="16">
        <v>4191</v>
      </c>
      <c r="F115" s="97"/>
      <c r="G115" s="97"/>
      <c r="H115" s="97"/>
      <c r="I115" s="97"/>
    </row>
    <row r="116" spans="1:9" x14ac:dyDescent="0.45">
      <c r="A116" s="96">
        <v>24.9</v>
      </c>
      <c r="B116" s="96">
        <v>77.7</v>
      </c>
      <c r="C116" s="96">
        <v>12.4</v>
      </c>
      <c r="D116" s="96">
        <v>1</v>
      </c>
      <c r="E116" s="16">
        <v>4073</v>
      </c>
      <c r="F116" s="97"/>
      <c r="G116" s="97"/>
      <c r="H116" s="97"/>
      <c r="I116" s="97"/>
    </row>
    <row r="117" spans="1:9" x14ac:dyDescent="0.45">
      <c r="A117" s="96">
        <v>25.9</v>
      </c>
      <c r="B117" s="96">
        <v>72.900000000000006</v>
      </c>
      <c r="C117" s="96">
        <v>21.9</v>
      </c>
      <c r="D117" s="96">
        <v>1</v>
      </c>
      <c r="E117" s="16">
        <v>4400</v>
      </c>
      <c r="F117" s="97"/>
      <c r="G117" s="97"/>
      <c r="H117" s="97"/>
      <c r="I117" s="97"/>
    </row>
    <row r="118" spans="1:9" x14ac:dyDescent="0.45">
      <c r="A118" s="96">
        <v>25.4</v>
      </c>
      <c r="B118" s="96">
        <v>83.5</v>
      </c>
      <c r="C118" s="96">
        <v>20.9</v>
      </c>
      <c r="D118" s="96">
        <v>2</v>
      </c>
      <c r="E118" s="16">
        <v>3872</v>
      </c>
      <c r="F118" s="97"/>
      <c r="G118" s="97"/>
      <c r="H118" s="97"/>
      <c r="I118" s="97"/>
    </row>
    <row r="119" spans="1:9" x14ac:dyDescent="0.45">
      <c r="A119" s="96">
        <v>25.3</v>
      </c>
      <c r="B119" s="96">
        <v>70.099999999999994</v>
      </c>
      <c r="C119" s="96">
        <v>21.5</v>
      </c>
      <c r="D119" s="96">
        <v>2</v>
      </c>
      <c r="E119" s="16">
        <v>4058</v>
      </c>
      <c r="F119" s="97"/>
      <c r="G119" s="97"/>
      <c r="H119" s="97"/>
      <c r="I119" s="97"/>
    </row>
    <row r="120" spans="1:9" x14ac:dyDescent="0.45">
      <c r="A120" s="96">
        <v>20.9</v>
      </c>
      <c r="B120" s="96">
        <v>45.7</v>
      </c>
      <c r="C120" s="96">
        <v>16.100000000000001</v>
      </c>
      <c r="D120" s="96">
        <v>1</v>
      </c>
      <c r="E120" s="16">
        <v>4595</v>
      </c>
      <c r="F120" s="97"/>
      <c r="G120" s="97"/>
      <c r="H120" s="97"/>
      <c r="I120" s="97"/>
    </row>
    <row r="121" spans="1:9" x14ac:dyDescent="0.45">
      <c r="A121" s="96">
        <v>19.399999999999999</v>
      </c>
      <c r="B121" s="96">
        <v>50.3</v>
      </c>
      <c r="C121" s="96">
        <v>15.8</v>
      </c>
      <c r="D121" s="96">
        <v>1</v>
      </c>
      <c r="E121" s="16">
        <v>5312</v>
      </c>
      <c r="F121" s="97"/>
      <c r="G121" s="97"/>
      <c r="H121" s="97"/>
      <c r="I121" s="97"/>
    </row>
    <row r="122" spans="1:9" x14ac:dyDescent="0.45">
      <c r="A122" s="96">
        <v>18.5</v>
      </c>
      <c r="B122" s="96">
        <v>76.2</v>
      </c>
      <c r="C122" s="96">
        <v>7.1</v>
      </c>
      <c r="D122" s="96">
        <v>2</v>
      </c>
      <c r="E122" s="16">
        <v>3351</v>
      </c>
      <c r="F122" s="97"/>
      <c r="G122" s="97"/>
      <c r="H122" s="97"/>
      <c r="I122" s="97"/>
    </row>
    <row r="123" spans="1:9" x14ac:dyDescent="0.45">
      <c r="A123" s="96">
        <v>22.5</v>
      </c>
      <c r="B123" s="96">
        <v>73</v>
      </c>
      <c r="C123" s="96">
        <v>12.3</v>
      </c>
      <c r="D123" s="96">
        <v>2</v>
      </c>
      <c r="E123" s="16">
        <v>4401</v>
      </c>
      <c r="F123" s="97"/>
      <c r="G123" s="97"/>
      <c r="H123" s="97"/>
      <c r="I123" s="97"/>
    </row>
    <row r="124" spans="1:9" x14ac:dyDescent="0.45">
      <c r="A124" s="96">
        <v>25.3</v>
      </c>
      <c r="B124" s="96">
        <v>69.7</v>
      </c>
      <c r="C124" s="96">
        <v>23</v>
      </c>
      <c r="D124" s="96">
        <v>2</v>
      </c>
      <c r="E124" s="16">
        <v>4451</v>
      </c>
      <c r="F124" s="97"/>
      <c r="G124" s="97"/>
      <c r="H124" s="97"/>
      <c r="I124" s="97"/>
    </row>
    <row r="125" spans="1:9" x14ac:dyDescent="0.45">
      <c r="A125" s="96">
        <v>17</v>
      </c>
      <c r="B125" s="96">
        <v>73.7</v>
      </c>
      <c r="C125" s="96">
        <v>22</v>
      </c>
      <c r="D125" s="96">
        <v>2</v>
      </c>
      <c r="E125" s="16">
        <v>2633</v>
      </c>
      <c r="F125" s="97"/>
      <c r="G125" s="97"/>
      <c r="H125" s="97"/>
      <c r="I125" s="97"/>
    </row>
    <row r="126" spans="1:9" x14ac:dyDescent="0.45">
      <c r="A126" s="96">
        <v>18.8</v>
      </c>
      <c r="B126" s="96">
        <v>44.4</v>
      </c>
      <c r="C126" s="96">
        <v>19.8</v>
      </c>
      <c r="D126" s="96">
        <v>1</v>
      </c>
      <c r="E126" s="16">
        <v>4433</v>
      </c>
      <c r="F126" s="97"/>
      <c r="G126" s="97"/>
      <c r="H126" s="97"/>
      <c r="I126" s="97"/>
    </row>
    <row r="127" spans="1:9" x14ac:dyDescent="0.45">
      <c r="A127" s="96">
        <v>19.600000000000001</v>
      </c>
      <c r="B127" s="96">
        <v>59</v>
      </c>
      <c r="C127" s="96">
        <v>15.3</v>
      </c>
      <c r="D127" s="96">
        <v>1</v>
      </c>
      <c r="E127" s="16">
        <v>4608</v>
      </c>
      <c r="F127" s="97"/>
      <c r="G127" s="97"/>
      <c r="H127" s="97"/>
      <c r="I127" s="97"/>
    </row>
    <row r="128" spans="1:9" x14ac:dyDescent="0.45">
      <c r="A128" s="96">
        <v>21.3</v>
      </c>
      <c r="B128" s="96">
        <v>54.1</v>
      </c>
      <c r="C128" s="96">
        <v>10.8</v>
      </c>
      <c r="D128" s="96">
        <v>1</v>
      </c>
      <c r="E128" s="16">
        <v>4714</v>
      </c>
      <c r="F128" s="97"/>
      <c r="G128" s="97"/>
      <c r="H128" s="97"/>
      <c r="I128" s="97"/>
    </row>
    <row r="129" spans="1:9" x14ac:dyDescent="0.45">
      <c r="A129" s="96">
        <v>21.7</v>
      </c>
      <c r="B129" s="96">
        <v>63.2</v>
      </c>
      <c r="C129" s="96">
        <v>5</v>
      </c>
      <c r="D129" s="96">
        <v>1</v>
      </c>
      <c r="E129" s="16">
        <v>4333</v>
      </c>
      <c r="F129" s="97"/>
      <c r="G129" s="97"/>
      <c r="H129" s="97"/>
      <c r="I129" s="97"/>
    </row>
    <row r="130" spans="1:9" x14ac:dyDescent="0.45">
      <c r="A130" s="96">
        <v>21.8</v>
      </c>
      <c r="B130" s="96">
        <v>58.9</v>
      </c>
      <c r="C130" s="96">
        <v>11.8</v>
      </c>
      <c r="D130" s="96">
        <v>1</v>
      </c>
      <c r="E130" s="16">
        <v>4362</v>
      </c>
      <c r="F130" s="97"/>
      <c r="G130" s="97"/>
      <c r="H130" s="97"/>
      <c r="I130" s="97"/>
    </row>
    <row r="131" spans="1:9" x14ac:dyDescent="0.45">
      <c r="A131" s="96">
        <v>21.8</v>
      </c>
      <c r="B131" s="96">
        <v>48.9</v>
      </c>
      <c r="C131" s="96">
        <v>7.7</v>
      </c>
      <c r="D131" s="96">
        <v>1</v>
      </c>
      <c r="E131" s="16">
        <v>4803</v>
      </c>
      <c r="F131" s="97"/>
      <c r="G131" s="97"/>
      <c r="H131" s="97"/>
      <c r="I131" s="97"/>
    </row>
    <row r="132" spans="1:9" x14ac:dyDescent="0.45">
      <c r="A132" s="96">
        <v>22.2</v>
      </c>
      <c r="B132" s="96">
        <v>63.3</v>
      </c>
      <c r="C132" s="96">
        <v>8.1</v>
      </c>
      <c r="D132" s="96">
        <v>1</v>
      </c>
      <c r="E132" s="16">
        <v>4182</v>
      </c>
      <c r="F132" s="97"/>
      <c r="G132" s="97"/>
      <c r="H132" s="97"/>
      <c r="I132" s="97"/>
    </row>
    <row r="133" spans="1:9" x14ac:dyDescent="0.45">
      <c r="A133" s="96">
        <v>21.9</v>
      </c>
      <c r="B133" s="96">
        <v>74.8</v>
      </c>
      <c r="C133" s="96">
        <v>12.7</v>
      </c>
      <c r="D133" s="96">
        <v>1</v>
      </c>
      <c r="E133" s="16">
        <v>4864</v>
      </c>
      <c r="F133" s="97"/>
      <c r="G133" s="97"/>
      <c r="H133" s="97"/>
      <c r="I133" s="97"/>
    </row>
    <row r="134" spans="1:9" x14ac:dyDescent="0.45">
      <c r="A134" s="96">
        <v>21</v>
      </c>
      <c r="B134" s="96">
        <v>86.3</v>
      </c>
      <c r="C134" s="96">
        <v>12</v>
      </c>
      <c r="D134" s="96">
        <v>2</v>
      </c>
      <c r="E134" s="16">
        <v>4105</v>
      </c>
      <c r="F134" s="97"/>
      <c r="G134" s="97"/>
      <c r="H134" s="97"/>
      <c r="I134" s="97"/>
    </row>
    <row r="135" spans="1:9" x14ac:dyDescent="0.45">
      <c r="A135" s="96">
        <v>21.4</v>
      </c>
      <c r="B135" s="96">
        <v>92.2</v>
      </c>
      <c r="C135" s="96">
        <v>9</v>
      </c>
      <c r="D135" s="96">
        <v>2</v>
      </c>
      <c r="E135" s="16">
        <v>3409</v>
      </c>
      <c r="F135" s="97"/>
      <c r="G135" s="97"/>
      <c r="H135" s="97"/>
      <c r="I135" s="97"/>
    </row>
    <row r="136" spans="1:9" x14ac:dyDescent="0.45">
      <c r="A136" s="96">
        <v>23.1</v>
      </c>
      <c r="B136" s="96">
        <v>86.7</v>
      </c>
      <c r="C136" s="96">
        <v>10.199999999999999</v>
      </c>
      <c r="D136" s="96">
        <v>2</v>
      </c>
      <c r="E136" s="16">
        <v>4553</v>
      </c>
      <c r="F136" s="97"/>
      <c r="G136" s="97"/>
      <c r="H136" s="97"/>
      <c r="I136" s="97"/>
    </row>
    <row r="137" spans="1:9" x14ac:dyDescent="0.45">
      <c r="A137" s="96">
        <v>23.7</v>
      </c>
      <c r="B137" s="96">
        <v>78.8</v>
      </c>
      <c r="C137" s="96">
        <v>8.5</v>
      </c>
      <c r="D137" s="96">
        <v>1</v>
      </c>
      <c r="E137" s="16">
        <v>3958</v>
      </c>
      <c r="F137" s="97"/>
      <c r="G137" s="97"/>
      <c r="H137" s="97"/>
      <c r="I137" s="97"/>
    </row>
    <row r="138" spans="1:9" x14ac:dyDescent="0.45">
      <c r="A138" s="96">
        <v>23</v>
      </c>
      <c r="B138" s="96">
        <v>83.8</v>
      </c>
      <c r="C138" s="96">
        <v>18.600000000000001</v>
      </c>
      <c r="D138" s="96">
        <v>2</v>
      </c>
      <c r="E138" s="16">
        <v>4123</v>
      </c>
      <c r="F138" s="97"/>
      <c r="G138" s="97"/>
      <c r="H138" s="97"/>
      <c r="I138" s="97"/>
    </row>
    <row r="139" spans="1:9" x14ac:dyDescent="0.45">
      <c r="A139" s="96">
        <v>22.6</v>
      </c>
      <c r="B139" s="96">
        <v>87</v>
      </c>
      <c r="C139" s="96">
        <v>13.5</v>
      </c>
      <c r="D139" s="96">
        <v>2</v>
      </c>
      <c r="E139" s="16">
        <v>3855</v>
      </c>
      <c r="F139" s="97"/>
      <c r="G139" s="97"/>
      <c r="H139" s="97"/>
      <c r="I139" s="97"/>
    </row>
    <row r="140" spans="1:9" x14ac:dyDescent="0.45">
      <c r="A140" s="96">
        <v>21.8</v>
      </c>
      <c r="B140" s="96">
        <v>83</v>
      </c>
      <c r="C140" s="96">
        <v>7.3</v>
      </c>
      <c r="D140" s="96">
        <v>2</v>
      </c>
      <c r="E140" s="16">
        <v>4575</v>
      </c>
      <c r="F140" s="97"/>
      <c r="G140" s="97"/>
      <c r="H140" s="97"/>
      <c r="I140" s="97"/>
    </row>
    <row r="141" spans="1:9" x14ac:dyDescent="0.45">
      <c r="A141" s="96">
        <v>22</v>
      </c>
      <c r="B141" s="96">
        <v>72</v>
      </c>
      <c r="C141" s="96">
        <v>8.4</v>
      </c>
      <c r="D141" s="96">
        <v>1</v>
      </c>
      <c r="E141" s="16">
        <v>4917</v>
      </c>
      <c r="F141" s="97"/>
      <c r="G141" s="97"/>
      <c r="H141" s="97"/>
      <c r="I141" s="97"/>
    </row>
    <row r="142" spans="1:9" x14ac:dyDescent="0.45">
      <c r="A142" s="96">
        <v>24.7</v>
      </c>
      <c r="B142" s="96">
        <v>62.7</v>
      </c>
      <c r="C142" s="96">
        <v>8.1</v>
      </c>
      <c r="D142" s="96">
        <v>1</v>
      </c>
      <c r="E142" s="16">
        <v>5805</v>
      </c>
      <c r="F142" s="97"/>
      <c r="G142" s="97"/>
      <c r="H142" s="97"/>
      <c r="I142" s="97"/>
    </row>
    <row r="143" spans="1:9" x14ac:dyDescent="0.45">
      <c r="A143" s="96">
        <v>24.8</v>
      </c>
      <c r="B143" s="96">
        <v>75</v>
      </c>
      <c r="C143" s="96">
        <v>9.9</v>
      </c>
      <c r="D143" s="96">
        <v>1</v>
      </c>
      <c r="E143" s="16">
        <v>4660</v>
      </c>
      <c r="F143" s="97"/>
      <c r="G143" s="97"/>
      <c r="H143" s="97"/>
      <c r="I143" s="97"/>
    </row>
    <row r="144" spans="1:9" x14ac:dyDescent="0.45">
      <c r="A144" s="96">
        <v>25.9</v>
      </c>
      <c r="B144" s="96">
        <v>81</v>
      </c>
      <c r="C144" s="96">
        <v>15.7</v>
      </c>
      <c r="D144" s="96">
        <v>2</v>
      </c>
      <c r="E144" s="16">
        <v>4274</v>
      </c>
      <c r="F144" s="97"/>
      <c r="G144" s="97"/>
      <c r="H144" s="97"/>
      <c r="I144" s="97"/>
    </row>
    <row r="145" spans="1:9" x14ac:dyDescent="0.45">
      <c r="A145" s="96">
        <v>27.1</v>
      </c>
      <c r="B145" s="96">
        <v>74.099999999999994</v>
      </c>
      <c r="C145" s="96">
        <v>13.9</v>
      </c>
      <c r="D145" s="96">
        <v>2</v>
      </c>
      <c r="E145" s="16">
        <v>4492</v>
      </c>
      <c r="F145" s="97"/>
      <c r="G145" s="97"/>
      <c r="H145" s="97"/>
      <c r="I145" s="97"/>
    </row>
    <row r="146" spans="1:9" x14ac:dyDescent="0.45">
      <c r="A146" s="96">
        <v>27.1</v>
      </c>
      <c r="B146" s="96">
        <v>69.599999999999994</v>
      </c>
      <c r="C146" s="96">
        <v>10.3</v>
      </c>
      <c r="D146" s="96">
        <v>1</v>
      </c>
      <c r="E146" s="16">
        <v>4978</v>
      </c>
      <c r="F146" s="97"/>
      <c r="G146" s="97"/>
      <c r="H146" s="97"/>
      <c r="I146" s="97"/>
    </row>
    <row r="147" spans="1:9" x14ac:dyDescent="0.45">
      <c r="A147" s="96">
        <v>29</v>
      </c>
      <c r="B147" s="96">
        <v>67.8</v>
      </c>
      <c r="C147" s="96">
        <v>13.4</v>
      </c>
      <c r="D147" s="96">
        <v>1</v>
      </c>
      <c r="E147" s="16">
        <v>4677</v>
      </c>
      <c r="F147" s="97"/>
      <c r="G147" s="97"/>
      <c r="H147" s="97"/>
      <c r="I147" s="97"/>
    </row>
    <row r="148" spans="1:9" x14ac:dyDescent="0.45">
      <c r="A148" s="96">
        <v>27.9</v>
      </c>
      <c r="B148" s="96">
        <v>65.400000000000006</v>
      </c>
      <c r="C148" s="96">
        <v>16.100000000000001</v>
      </c>
      <c r="D148" s="96">
        <v>1</v>
      </c>
      <c r="E148" s="16">
        <v>4679</v>
      </c>
      <c r="F148" s="97"/>
      <c r="G148" s="97"/>
      <c r="H148" s="97"/>
      <c r="I148" s="97"/>
    </row>
    <row r="149" spans="1:9" x14ac:dyDescent="0.45">
      <c r="A149" s="96">
        <v>26.9</v>
      </c>
      <c r="B149" s="96">
        <v>73</v>
      </c>
      <c r="C149" s="96">
        <v>15.4</v>
      </c>
      <c r="D149" s="96">
        <v>1</v>
      </c>
      <c r="E149" s="16">
        <v>4758</v>
      </c>
      <c r="F149" s="97"/>
      <c r="G149" s="97"/>
      <c r="H149" s="97"/>
      <c r="I149" s="97"/>
    </row>
    <row r="150" spans="1:9" x14ac:dyDescent="0.45">
      <c r="A150" s="96">
        <v>27.4</v>
      </c>
      <c r="B150" s="96">
        <v>81.900000000000006</v>
      </c>
      <c r="C150" s="96">
        <v>14.3</v>
      </c>
      <c r="D150" s="96">
        <v>1</v>
      </c>
      <c r="E150" s="16">
        <v>4788</v>
      </c>
      <c r="F150" s="97"/>
      <c r="G150" s="97"/>
      <c r="H150" s="97"/>
      <c r="I150" s="97"/>
    </row>
    <row r="151" spans="1:9" x14ac:dyDescent="0.45">
      <c r="A151" s="96">
        <v>30.1</v>
      </c>
      <c r="B151" s="96">
        <v>68.5</v>
      </c>
      <c r="C151" s="96">
        <v>8.8000000000000007</v>
      </c>
      <c r="D151" s="96">
        <v>1</v>
      </c>
      <c r="E151" s="16">
        <v>4098</v>
      </c>
      <c r="F151" s="97"/>
      <c r="G151" s="97"/>
      <c r="H151" s="97"/>
      <c r="I151" s="97"/>
    </row>
    <row r="152" spans="1:9" x14ac:dyDescent="0.45">
      <c r="A152" s="96">
        <v>31.8</v>
      </c>
      <c r="B152" s="96">
        <v>63.7</v>
      </c>
      <c r="C152" s="96">
        <v>7.5</v>
      </c>
      <c r="D152" s="96">
        <v>1</v>
      </c>
      <c r="E152" s="16">
        <v>3982</v>
      </c>
      <c r="F152" s="97"/>
      <c r="G152" s="97"/>
      <c r="H152" s="97"/>
      <c r="I152" s="97"/>
    </row>
    <row r="153" spans="1:9" x14ac:dyDescent="0.45">
      <c r="A153" s="96">
        <v>31.3</v>
      </c>
      <c r="B153" s="96">
        <v>67.7</v>
      </c>
      <c r="C153" s="96">
        <v>13.9</v>
      </c>
      <c r="D153" s="96">
        <v>2</v>
      </c>
      <c r="E153" s="16">
        <v>3974</v>
      </c>
      <c r="F153" s="97"/>
      <c r="G153" s="97"/>
      <c r="H153" s="97"/>
      <c r="I153" s="97"/>
    </row>
    <row r="154" spans="1:9" x14ac:dyDescent="0.45">
      <c r="A154" s="96">
        <v>29.3</v>
      </c>
      <c r="B154" s="96">
        <v>30.5</v>
      </c>
      <c r="C154" s="96">
        <v>19.600000000000001</v>
      </c>
      <c r="D154" s="96">
        <v>1</v>
      </c>
      <c r="E154" s="16">
        <v>4968</v>
      </c>
      <c r="F154" s="97"/>
      <c r="G154" s="97"/>
      <c r="H154" s="97"/>
      <c r="I154" s="97"/>
    </row>
    <row r="155" spans="1:9" x14ac:dyDescent="0.45">
      <c r="A155" s="96">
        <v>25.4</v>
      </c>
      <c r="B155" s="96">
        <v>35.4</v>
      </c>
      <c r="C155" s="96">
        <v>17</v>
      </c>
      <c r="D155" s="96">
        <v>1</v>
      </c>
      <c r="E155" s="16">
        <v>5312</v>
      </c>
      <c r="F155" s="97"/>
      <c r="G155" s="97"/>
      <c r="H155" s="97"/>
      <c r="I155" s="97"/>
    </row>
    <row r="156" spans="1:9" x14ac:dyDescent="0.45">
      <c r="A156" s="96">
        <v>26</v>
      </c>
      <c r="B156" s="96">
        <v>45.6</v>
      </c>
      <c r="C156" s="96">
        <v>8.3000000000000007</v>
      </c>
      <c r="D156" s="96">
        <v>1</v>
      </c>
      <c r="E156" s="16">
        <v>5342</v>
      </c>
      <c r="F156" s="97"/>
      <c r="G156" s="97"/>
      <c r="H156" s="97"/>
      <c r="I156" s="97"/>
    </row>
    <row r="157" spans="1:9" x14ac:dyDescent="0.45">
      <c r="A157" s="96">
        <v>26.6</v>
      </c>
      <c r="B157" s="96">
        <v>65.2</v>
      </c>
      <c r="C157" s="96">
        <v>9.3000000000000007</v>
      </c>
      <c r="D157" s="96">
        <v>2</v>
      </c>
      <c r="E157" s="16">
        <v>4906</v>
      </c>
      <c r="F157" s="97"/>
      <c r="G157" s="97"/>
      <c r="H157" s="97"/>
      <c r="I157" s="97"/>
    </row>
    <row r="158" spans="1:9" x14ac:dyDescent="0.45">
      <c r="A158" s="96">
        <v>27.8</v>
      </c>
      <c r="B158" s="96">
        <v>60</v>
      </c>
      <c r="C158" s="96">
        <v>8.1999999999999993</v>
      </c>
      <c r="D158" s="96">
        <v>1</v>
      </c>
      <c r="E158" s="16">
        <v>4548</v>
      </c>
      <c r="F158" s="97"/>
      <c r="G158" s="97"/>
      <c r="H158" s="97"/>
      <c r="I158" s="97"/>
    </row>
    <row r="159" spans="1:9" x14ac:dyDescent="0.45">
      <c r="A159" s="96">
        <v>29</v>
      </c>
      <c r="B159" s="96">
        <v>59.8</v>
      </c>
      <c r="C159" s="96">
        <v>12.6</v>
      </c>
      <c r="D159" s="96">
        <v>1</v>
      </c>
      <c r="E159" s="16">
        <v>4833</v>
      </c>
      <c r="F159" s="97"/>
      <c r="G159" s="97"/>
      <c r="H159" s="97"/>
      <c r="I159" s="97"/>
    </row>
    <row r="160" spans="1:9" x14ac:dyDescent="0.45">
      <c r="A160" s="96">
        <v>31.8</v>
      </c>
      <c r="B160" s="96">
        <v>62.2</v>
      </c>
      <c r="C160" s="96">
        <v>9.1999999999999993</v>
      </c>
      <c r="D160" s="96">
        <v>1</v>
      </c>
      <c r="E160" s="16">
        <v>4401</v>
      </c>
      <c r="F160" s="97"/>
      <c r="G160" s="97"/>
      <c r="H160" s="97"/>
      <c r="I160" s="97"/>
    </row>
    <row r="161" spans="1:9" x14ac:dyDescent="0.45">
      <c r="A161" s="96">
        <v>33.1</v>
      </c>
      <c r="B161" s="96">
        <v>56.8</v>
      </c>
      <c r="C161" s="96">
        <v>10</v>
      </c>
      <c r="D161" s="96">
        <v>2</v>
      </c>
      <c r="E161" s="16">
        <v>3915</v>
      </c>
      <c r="F161" s="97"/>
      <c r="G161" s="97"/>
      <c r="H161" s="97"/>
      <c r="I161" s="97"/>
    </row>
    <row r="162" spans="1:9" x14ac:dyDescent="0.45">
      <c r="A162" s="96">
        <v>31</v>
      </c>
      <c r="B162" s="96">
        <v>60.5</v>
      </c>
      <c r="C162" s="96">
        <v>9.4</v>
      </c>
      <c r="D162" s="96">
        <v>1</v>
      </c>
      <c r="E162" s="16">
        <v>4586</v>
      </c>
      <c r="F162" s="97"/>
      <c r="G162" s="97"/>
      <c r="H162" s="97"/>
      <c r="I162" s="97"/>
    </row>
    <row r="163" spans="1:9" x14ac:dyDescent="0.45">
      <c r="A163" s="96">
        <v>29.7</v>
      </c>
      <c r="B163" s="96">
        <v>65.5</v>
      </c>
      <c r="C163" s="96">
        <v>10.4</v>
      </c>
      <c r="D163" s="96">
        <v>1</v>
      </c>
      <c r="E163" s="16">
        <v>4966</v>
      </c>
      <c r="F163" s="97"/>
      <c r="G163" s="97"/>
      <c r="H163" s="97"/>
      <c r="I163" s="97"/>
    </row>
    <row r="164" spans="1:9" x14ac:dyDescent="0.45">
      <c r="A164" s="96">
        <v>28.4</v>
      </c>
      <c r="B164" s="96">
        <v>74.8</v>
      </c>
      <c r="C164" s="96">
        <v>11</v>
      </c>
      <c r="D164" s="96">
        <v>1</v>
      </c>
      <c r="E164" s="16">
        <v>4460</v>
      </c>
      <c r="F164" s="97"/>
      <c r="G164" s="97"/>
      <c r="H164" s="97"/>
      <c r="I164" s="97"/>
    </row>
    <row r="165" spans="1:9" x14ac:dyDescent="0.45">
      <c r="A165" s="96">
        <v>26</v>
      </c>
      <c r="B165" s="96">
        <v>49.5</v>
      </c>
      <c r="C165" s="96">
        <v>20.5</v>
      </c>
      <c r="D165" s="96">
        <v>1</v>
      </c>
      <c r="E165" s="16">
        <v>5020</v>
      </c>
      <c r="F165" s="97"/>
      <c r="G165" s="97"/>
      <c r="H165" s="97"/>
      <c r="I165" s="97"/>
    </row>
    <row r="166" spans="1:9" x14ac:dyDescent="0.45">
      <c r="A166" s="96">
        <v>24.8</v>
      </c>
      <c r="B166" s="96">
        <v>50.7</v>
      </c>
      <c r="C166" s="96">
        <v>18</v>
      </c>
      <c r="D166" s="96">
        <v>1</v>
      </c>
      <c r="E166" s="16">
        <v>4891</v>
      </c>
      <c r="F166" s="97"/>
      <c r="G166" s="97"/>
      <c r="H166" s="97"/>
      <c r="I166" s="97"/>
    </row>
    <row r="167" spans="1:9" x14ac:dyDescent="0.45">
      <c r="A167" s="96">
        <v>25.7</v>
      </c>
      <c r="B167" s="96">
        <v>47.2</v>
      </c>
      <c r="C167" s="96">
        <v>11.3</v>
      </c>
      <c r="D167" s="96">
        <v>1</v>
      </c>
      <c r="E167" s="16">
        <v>5180</v>
      </c>
      <c r="F167" s="97"/>
      <c r="G167" s="97"/>
      <c r="H167" s="97"/>
      <c r="I167" s="97"/>
    </row>
    <row r="168" spans="1:9" x14ac:dyDescent="0.45">
      <c r="A168" s="96">
        <v>25.8</v>
      </c>
      <c r="B168" s="96">
        <v>68.8</v>
      </c>
      <c r="C168" s="96">
        <v>13.8</v>
      </c>
      <c r="D168" s="96">
        <v>2</v>
      </c>
      <c r="E168" s="16">
        <v>3767</v>
      </c>
      <c r="F168" s="97"/>
      <c r="G168" s="97"/>
      <c r="H168" s="97"/>
      <c r="I168" s="97"/>
    </row>
    <row r="169" spans="1:9" x14ac:dyDescent="0.45">
      <c r="A169" s="96">
        <v>26.6</v>
      </c>
      <c r="B169" s="96">
        <v>73.599999999999994</v>
      </c>
      <c r="C169" s="96">
        <v>9.6</v>
      </c>
      <c r="D169" s="96">
        <v>1</v>
      </c>
      <c r="E169" s="16">
        <v>4844</v>
      </c>
      <c r="F169" s="97"/>
      <c r="G169" s="97"/>
      <c r="H169" s="97"/>
      <c r="I169" s="97"/>
    </row>
    <row r="170" spans="1:9" x14ac:dyDescent="0.45">
      <c r="A170" s="96">
        <v>28.6</v>
      </c>
      <c r="B170" s="96">
        <v>67</v>
      </c>
      <c r="C170" s="96">
        <v>8</v>
      </c>
      <c r="D170" s="96">
        <v>1</v>
      </c>
      <c r="E170" s="16">
        <v>5119</v>
      </c>
      <c r="F170" s="97"/>
      <c r="G170" s="97"/>
      <c r="H170" s="97"/>
      <c r="I170" s="97"/>
    </row>
    <row r="171" spans="1:9" x14ac:dyDescent="0.45">
      <c r="A171" s="96">
        <v>28.7</v>
      </c>
      <c r="B171" s="96">
        <v>66.7</v>
      </c>
      <c r="C171" s="96">
        <v>6.8</v>
      </c>
      <c r="D171" s="96">
        <v>2</v>
      </c>
      <c r="E171" s="16">
        <v>4744</v>
      </c>
      <c r="F171" s="97"/>
      <c r="G171" s="97"/>
      <c r="H171" s="97"/>
      <c r="I171" s="97"/>
    </row>
    <row r="172" spans="1:9" x14ac:dyDescent="0.45">
      <c r="A172" s="96">
        <v>26</v>
      </c>
      <c r="B172" s="96">
        <v>74.599999999999994</v>
      </c>
      <c r="C172" s="96">
        <v>10.4</v>
      </c>
      <c r="D172" s="96">
        <v>2</v>
      </c>
      <c r="E172" s="16">
        <v>4010</v>
      </c>
      <c r="F172" s="97"/>
      <c r="G172" s="97"/>
      <c r="H172" s="97"/>
      <c r="I172" s="97"/>
    </row>
    <row r="173" spans="1:9" x14ac:dyDescent="0.45">
      <c r="A173" s="96">
        <v>27.9</v>
      </c>
      <c r="B173" s="96">
        <v>77</v>
      </c>
      <c r="C173" s="96">
        <v>11.5</v>
      </c>
      <c r="D173" s="96">
        <v>2</v>
      </c>
      <c r="E173" s="16">
        <v>4835</v>
      </c>
      <c r="F173" s="97"/>
      <c r="G173" s="97"/>
      <c r="H173" s="97"/>
      <c r="I173" s="97"/>
    </row>
    <row r="174" spans="1:9" x14ac:dyDescent="0.45">
      <c r="A174" s="96">
        <v>30.1</v>
      </c>
      <c r="B174" s="96">
        <v>70.8</v>
      </c>
      <c r="C174" s="96">
        <v>11.5</v>
      </c>
      <c r="D174" s="96">
        <v>1</v>
      </c>
      <c r="E174" s="16">
        <v>4507</v>
      </c>
      <c r="F174" s="97"/>
      <c r="G174" s="97"/>
      <c r="H174" s="97"/>
      <c r="I174" s="97"/>
    </row>
    <row r="175" spans="1:9" x14ac:dyDescent="0.45">
      <c r="A175" s="96">
        <v>29.9</v>
      </c>
      <c r="B175" s="96">
        <v>70.3</v>
      </c>
      <c r="C175" s="96">
        <v>16</v>
      </c>
      <c r="D175" s="96">
        <v>2</v>
      </c>
      <c r="E175" s="16">
        <v>4790</v>
      </c>
      <c r="F175" s="97"/>
      <c r="G175" s="97"/>
      <c r="H175" s="97"/>
      <c r="I175" s="97"/>
    </row>
    <row r="176" spans="1:9" x14ac:dyDescent="0.45">
      <c r="A176" s="96">
        <v>29.7</v>
      </c>
      <c r="B176" s="96">
        <v>57.3</v>
      </c>
      <c r="C176" s="96">
        <v>14.9</v>
      </c>
      <c r="D176" s="96">
        <v>1</v>
      </c>
      <c r="E176" s="16">
        <v>4991</v>
      </c>
      <c r="F176" s="97"/>
      <c r="G176" s="97"/>
      <c r="H176" s="97"/>
      <c r="I176" s="97"/>
    </row>
    <row r="177" spans="1:9" x14ac:dyDescent="0.45">
      <c r="A177" s="96">
        <v>28.5</v>
      </c>
      <c r="B177" s="96">
        <v>48.3</v>
      </c>
      <c r="C177" s="96">
        <v>14</v>
      </c>
      <c r="D177" s="96">
        <v>1</v>
      </c>
      <c r="E177" s="16">
        <v>5202</v>
      </c>
      <c r="F177" s="97"/>
      <c r="G177" s="97"/>
      <c r="H177" s="97"/>
      <c r="I177" s="97"/>
    </row>
    <row r="178" spans="1:9" x14ac:dyDescent="0.45">
      <c r="A178" s="96">
        <v>27.9</v>
      </c>
      <c r="B178" s="96">
        <v>51.3</v>
      </c>
      <c r="C178" s="96">
        <v>6.3</v>
      </c>
      <c r="D178" s="96">
        <v>1</v>
      </c>
      <c r="E178" s="16">
        <v>5305</v>
      </c>
      <c r="F178" s="97"/>
      <c r="G178" s="97"/>
      <c r="H178" s="97"/>
      <c r="I178" s="97"/>
    </row>
    <row r="179" spans="1:9" x14ac:dyDescent="0.45">
      <c r="A179" s="96">
        <v>28</v>
      </c>
      <c r="B179" s="96">
        <v>65.8</v>
      </c>
      <c r="C179" s="96">
        <v>7.2</v>
      </c>
      <c r="D179" s="96">
        <v>2</v>
      </c>
      <c r="E179" s="16">
        <v>4708</v>
      </c>
      <c r="F179" s="97"/>
      <c r="G179" s="97"/>
      <c r="H179" s="97"/>
      <c r="I179" s="97"/>
    </row>
    <row r="180" spans="1:9" x14ac:dyDescent="0.45">
      <c r="A180" s="96">
        <v>30.5</v>
      </c>
      <c r="B180" s="96">
        <v>63.4</v>
      </c>
      <c r="C180" s="96">
        <v>9.6999999999999993</v>
      </c>
      <c r="D180" s="96">
        <v>1</v>
      </c>
      <c r="E180" s="16">
        <v>4648</v>
      </c>
      <c r="F180" s="97"/>
      <c r="G180" s="97"/>
      <c r="H180" s="97"/>
      <c r="I180" s="97"/>
    </row>
    <row r="181" spans="1:9" x14ac:dyDescent="0.45">
      <c r="A181" s="96">
        <v>29.9</v>
      </c>
      <c r="B181" s="96">
        <v>49.8</v>
      </c>
      <c r="C181" s="96">
        <v>17.5</v>
      </c>
      <c r="D181" s="96">
        <v>1</v>
      </c>
      <c r="E181" s="16">
        <v>5225</v>
      </c>
      <c r="F181" s="97"/>
      <c r="G181" s="97"/>
      <c r="H181" s="97"/>
      <c r="I181" s="97"/>
    </row>
    <row r="182" spans="1:9" x14ac:dyDescent="0.45">
      <c r="A182" s="96">
        <v>28.6</v>
      </c>
      <c r="B182" s="96">
        <v>43.4</v>
      </c>
      <c r="C182" s="96">
        <v>12.4</v>
      </c>
      <c r="D182" s="96">
        <v>1</v>
      </c>
      <c r="E182" s="16">
        <v>5515</v>
      </c>
      <c r="F182" s="97"/>
      <c r="G182" s="97"/>
      <c r="H182" s="97"/>
      <c r="I182" s="97"/>
    </row>
    <row r="183" spans="1:9" x14ac:dyDescent="0.45">
      <c r="A183" s="96">
        <v>29.6</v>
      </c>
      <c r="B183" s="96">
        <v>39.6</v>
      </c>
      <c r="C183" s="96">
        <v>6.9</v>
      </c>
      <c r="D183" s="96">
        <v>1</v>
      </c>
      <c r="E183" s="16">
        <v>5362</v>
      </c>
      <c r="F183" s="97"/>
      <c r="G183" s="97"/>
      <c r="H183" s="97"/>
      <c r="I183" s="97"/>
    </row>
    <row r="184" spans="1:9" x14ac:dyDescent="0.45">
      <c r="A184" s="96">
        <v>30.3</v>
      </c>
      <c r="B184" s="96">
        <v>44.5</v>
      </c>
      <c r="C184" s="96">
        <v>7.7</v>
      </c>
      <c r="D184" s="96">
        <v>1</v>
      </c>
      <c r="E184" s="16">
        <v>5119</v>
      </c>
      <c r="F184" s="97"/>
      <c r="G184" s="97"/>
      <c r="H184" s="97"/>
      <c r="I184" s="97"/>
    </row>
    <row r="185" spans="1:9" x14ac:dyDescent="0.45">
      <c r="A185" s="96">
        <v>29.4</v>
      </c>
      <c r="B185" s="96">
        <v>68.2</v>
      </c>
      <c r="C185" s="96">
        <v>15.3</v>
      </c>
      <c r="D185" s="96">
        <v>2</v>
      </c>
      <c r="E185" s="16">
        <v>4649</v>
      </c>
      <c r="F185" s="97"/>
      <c r="G185" s="97"/>
      <c r="H185" s="97"/>
      <c r="I185" s="97"/>
    </row>
    <row r="186" spans="1:9" x14ac:dyDescent="0.45">
      <c r="A186" s="96">
        <v>29.8</v>
      </c>
      <c r="B186" s="96">
        <v>63.8</v>
      </c>
      <c r="C186" s="96">
        <v>5.5</v>
      </c>
      <c r="D186" s="96">
        <v>2</v>
      </c>
      <c r="E186" s="16">
        <v>6043</v>
      </c>
      <c r="F186" s="97"/>
      <c r="G186" s="97"/>
      <c r="H186" s="97"/>
      <c r="I186" s="97"/>
    </row>
    <row r="187" spans="1:9" x14ac:dyDescent="0.45">
      <c r="A187" s="96">
        <v>30.6</v>
      </c>
      <c r="B187" s="96">
        <v>59</v>
      </c>
      <c r="C187" s="96">
        <v>8.5</v>
      </c>
      <c r="D187" s="96">
        <v>1</v>
      </c>
      <c r="E187" s="16">
        <v>4665</v>
      </c>
      <c r="F187" s="97"/>
      <c r="G187" s="97"/>
      <c r="H187" s="97"/>
      <c r="I187" s="97"/>
    </row>
    <row r="188" spans="1:9" x14ac:dyDescent="0.45">
      <c r="A188" s="96">
        <v>29.5</v>
      </c>
      <c r="B188" s="96">
        <v>74.3</v>
      </c>
      <c r="C188" s="96">
        <v>10</v>
      </c>
      <c r="D188" s="96">
        <v>1</v>
      </c>
      <c r="E188" s="16">
        <v>4629</v>
      </c>
      <c r="F188" s="97"/>
      <c r="G188" s="97"/>
      <c r="H188" s="97"/>
      <c r="I188" s="97"/>
    </row>
    <row r="189" spans="1:9" x14ac:dyDescent="0.45">
      <c r="A189" s="96">
        <v>30.8</v>
      </c>
      <c r="B189" s="96">
        <v>65.099999999999994</v>
      </c>
      <c r="C189" s="96">
        <v>10.7</v>
      </c>
      <c r="D189" s="96">
        <v>1</v>
      </c>
      <c r="E189" s="16">
        <v>4592</v>
      </c>
      <c r="F189" s="97"/>
      <c r="G189" s="97"/>
      <c r="H189" s="97"/>
      <c r="I189" s="97"/>
    </row>
    <row r="190" spans="1:9" x14ac:dyDescent="0.45">
      <c r="A190" s="96">
        <v>29.1</v>
      </c>
      <c r="B190" s="96">
        <v>75.8</v>
      </c>
      <c r="C190" s="96">
        <v>15.1</v>
      </c>
      <c r="D190" s="96">
        <v>2</v>
      </c>
      <c r="E190" s="16">
        <v>4040</v>
      </c>
      <c r="F190" s="97"/>
      <c r="G190" s="97"/>
      <c r="H190" s="97"/>
      <c r="I190" s="97"/>
    </row>
    <row r="191" spans="1:9" x14ac:dyDescent="0.45">
      <c r="A191" s="96">
        <v>30.1</v>
      </c>
      <c r="B191" s="96">
        <v>60.9</v>
      </c>
      <c r="C191" s="96">
        <v>11.3</v>
      </c>
      <c r="D191" s="96">
        <v>1</v>
      </c>
      <c r="E191" s="16">
        <v>5336</v>
      </c>
      <c r="F191" s="97"/>
      <c r="G191" s="97"/>
      <c r="H191" s="97"/>
      <c r="I191" s="97"/>
    </row>
    <row r="192" spans="1:9" x14ac:dyDescent="0.45">
      <c r="A192" s="96">
        <v>30.6</v>
      </c>
      <c r="B192" s="96">
        <v>57.8</v>
      </c>
      <c r="C192" s="96">
        <v>12.3</v>
      </c>
      <c r="D192" s="96">
        <v>1</v>
      </c>
      <c r="E192" s="16">
        <v>4881</v>
      </c>
      <c r="F192" s="97"/>
      <c r="G192" s="97"/>
      <c r="H192" s="97"/>
      <c r="I192" s="97"/>
    </row>
    <row r="193" spans="1:9" x14ac:dyDescent="0.45">
      <c r="A193" s="96">
        <v>31.3</v>
      </c>
      <c r="B193" s="96">
        <v>63.6</v>
      </c>
      <c r="C193" s="96">
        <v>18.899999999999999</v>
      </c>
      <c r="D193" s="96">
        <v>1</v>
      </c>
      <c r="E193" s="16">
        <v>4086</v>
      </c>
      <c r="F193" s="97"/>
      <c r="G193" s="97"/>
      <c r="H193" s="97"/>
      <c r="I193" s="97"/>
    </row>
    <row r="194" spans="1:9" x14ac:dyDescent="0.45">
      <c r="A194" s="96">
        <v>32.6</v>
      </c>
      <c r="B194" s="96">
        <v>55.9</v>
      </c>
      <c r="C194" s="96">
        <v>13.4</v>
      </c>
      <c r="D194" s="96">
        <v>1</v>
      </c>
      <c r="E194" s="16">
        <v>4258</v>
      </c>
      <c r="F194" s="97"/>
      <c r="G194" s="97"/>
      <c r="H194" s="97"/>
      <c r="I194" s="97"/>
    </row>
    <row r="195" spans="1:9" x14ac:dyDescent="0.45">
      <c r="A195" s="96">
        <v>30.6</v>
      </c>
      <c r="B195" s="96">
        <v>63.2</v>
      </c>
      <c r="C195" s="96">
        <v>9.8000000000000007</v>
      </c>
      <c r="D195" s="96">
        <v>1</v>
      </c>
      <c r="E195" s="16">
        <v>4342</v>
      </c>
      <c r="F195" s="97"/>
      <c r="G195" s="97"/>
      <c r="H195" s="97"/>
      <c r="I195" s="97"/>
    </row>
    <row r="196" spans="1:9" x14ac:dyDescent="0.45">
      <c r="A196" s="96">
        <v>27.9</v>
      </c>
      <c r="B196" s="96">
        <v>47.6</v>
      </c>
      <c r="C196" s="96">
        <v>16.100000000000001</v>
      </c>
      <c r="D196" s="96">
        <v>1</v>
      </c>
      <c r="E196" s="16">
        <v>5084</v>
      </c>
      <c r="F196" s="97"/>
      <c r="G196" s="97"/>
      <c r="H196" s="97"/>
      <c r="I196" s="97"/>
    </row>
    <row r="197" spans="1:9" x14ac:dyDescent="0.45">
      <c r="A197" s="96">
        <v>27.2</v>
      </c>
      <c r="B197" s="96">
        <v>59.1</v>
      </c>
      <c r="C197" s="96">
        <v>12.2</v>
      </c>
      <c r="D197" s="96">
        <v>1</v>
      </c>
      <c r="E197" s="16">
        <v>5538</v>
      </c>
      <c r="F197" s="97"/>
      <c r="G197" s="97"/>
      <c r="H197" s="97"/>
      <c r="I197" s="97"/>
    </row>
    <row r="198" spans="1:9" x14ac:dyDescent="0.45">
      <c r="A198" s="96">
        <v>28.2</v>
      </c>
      <c r="B198" s="96">
        <v>58.5</v>
      </c>
      <c r="C198" s="96">
        <v>14</v>
      </c>
      <c r="D198" s="96">
        <v>1</v>
      </c>
      <c r="E198" s="16">
        <v>5923</v>
      </c>
      <c r="F198" s="97"/>
      <c r="G198" s="97"/>
      <c r="H198" s="97"/>
      <c r="I198" s="97"/>
    </row>
    <row r="199" spans="1:9" x14ac:dyDescent="0.45">
      <c r="A199" s="96">
        <v>29.5</v>
      </c>
      <c r="B199" s="96">
        <v>60.4</v>
      </c>
      <c r="C199" s="96">
        <v>16.399999999999999</v>
      </c>
      <c r="D199" s="96">
        <v>1</v>
      </c>
      <c r="E199" s="16">
        <v>5302</v>
      </c>
      <c r="F199" s="97"/>
      <c r="G199" s="97"/>
      <c r="H199" s="97"/>
      <c r="I199" s="97"/>
    </row>
    <row r="200" spans="1:9" x14ac:dyDescent="0.45">
      <c r="A200" s="96">
        <v>30.6</v>
      </c>
      <c r="B200" s="96">
        <v>65.099999999999994</v>
      </c>
      <c r="C200" s="96">
        <v>14.5</v>
      </c>
      <c r="D200" s="96">
        <v>1</v>
      </c>
      <c r="E200" s="16">
        <v>4458</v>
      </c>
      <c r="F200" s="97"/>
      <c r="G200" s="97"/>
      <c r="H200" s="97"/>
      <c r="I200" s="97"/>
    </row>
    <row r="201" spans="1:9" x14ac:dyDescent="0.45">
      <c r="A201" s="96">
        <v>31.8</v>
      </c>
      <c r="B201" s="96">
        <v>65</v>
      </c>
      <c r="C201" s="96">
        <v>8.8000000000000007</v>
      </c>
      <c r="D201" s="96">
        <v>1</v>
      </c>
      <c r="E201" s="16">
        <v>4541</v>
      </c>
      <c r="F201" s="97"/>
      <c r="G201" s="97"/>
      <c r="H201" s="97"/>
      <c r="I201" s="97"/>
    </row>
    <row r="202" spans="1:9" x14ac:dyDescent="0.45">
      <c r="A202" s="96">
        <v>31.5</v>
      </c>
      <c r="B202" s="96">
        <v>70.7</v>
      </c>
      <c r="C202" s="96">
        <v>7.6</v>
      </c>
      <c r="D202" s="96">
        <v>1</v>
      </c>
      <c r="E202" s="16">
        <v>4332</v>
      </c>
      <c r="F202" s="97"/>
      <c r="G202" s="97"/>
      <c r="H202" s="97"/>
      <c r="I202" s="97"/>
    </row>
    <row r="203" spans="1:9" x14ac:dyDescent="0.45">
      <c r="A203" s="96">
        <v>33.4</v>
      </c>
      <c r="B203" s="96">
        <v>69.099999999999994</v>
      </c>
      <c r="C203" s="96">
        <v>14.9</v>
      </c>
      <c r="D203" s="96">
        <v>2</v>
      </c>
      <c r="E203" s="16">
        <v>3784</v>
      </c>
      <c r="F203" s="97"/>
      <c r="G203" s="97"/>
      <c r="H203" s="97"/>
      <c r="I203" s="97"/>
    </row>
    <row r="204" spans="1:9" x14ac:dyDescent="0.45">
      <c r="A204" s="96">
        <v>34.799999999999997</v>
      </c>
      <c r="B204" s="96">
        <v>58</v>
      </c>
      <c r="C204" s="96">
        <v>8.9</v>
      </c>
      <c r="D204" s="96">
        <v>1</v>
      </c>
      <c r="E204" s="16">
        <v>3387</v>
      </c>
      <c r="F204" s="97"/>
      <c r="G204" s="97"/>
      <c r="H204" s="97"/>
      <c r="I204" s="97"/>
    </row>
    <row r="205" spans="1:9" x14ac:dyDescent="0.45">
      <c r="A205" s="96">
        <v>34.799999999999997</v>
      </c>
      <c r="B205" s="96">
        <v>50</v>
      </c>
      <c r="C205" s="96">
        <v>8.8000000000000007</v>
      </c>
      <c r="D205" s="96">
        <v>1</v>
      </c>
      <c r="E205" s="16">
        <v>3285</v>
      </c>
      <c r="F205" s="97"/>
      <c r="G205" s="97"/>
      <c r="H205" s="97"/>
      <c r="I205" s="97"/>
    </row>
    <row r="206" spans="1:9" x14ac:dyDescent="0.45">
      <c r="A206" s="96">
        <v>34</v>
      </c>
      <c r="B206" s="96">
        <v>55.1</v>
      </c>
      <c r="C206" s="96">
        <v>11.3</v>
      </c>
      <c r="D206" s="96">
        <v>1</v>
      </c>
      <c r="E206" s="16">
        <v>3606</v>
      </c>
      <c r="F206" s="97"/>
      <c r="G206" s="97"/>
      <c r="H206" s="97"/>
      <c r="I206" s="97"/>
    </row>
    <row r="207" spans="1:9" x14ac:dyDescent="0.45">
      <c r="A207" s="96">
        <v>30.5</v>
      </c>
      <c r="B207" s="96">
        <v>75.7</v>
      </c>
      <c r="C207" s="96">
        <v>6.1</v>
      </c>
      <c r="D207" s="96">
        <v>1</v>
      </c>
      <c r="E207" s="16">
        <v>3840</v>
      </c>
      <c r="F207" s="97"/>
      <c r="G207" s="97"/>
      <c r="H207" s="97"/>
      <c r="I207" s="97"/>
    </row>
    <row r="208" spans="1:9" x14ac:dyDescent="0.45">
      <c r="A208" s="96">
        <v>31.6</v>
      </c>
      <c r="B208" s="96">
        <v>54.1</v>
      </c>
      <c r="C208" s="96">
        <v>13.4</v>
      </c>
      <c r="D208" s="96">
        <v>1</v>
      </c>
      <c r="E208" s="16">
        <v>4590</v>
      </c>
      <c r="F208" s="97"/>
      <c r="G208" s="97"/>
      <c r="H208" s="97"/>
      <c r="I208" s="97"/>
    </row>
    <row r="209" spans="1:9" x14ac:dyDescent="0.45">
      <c r="A209" s="96">
        <v>31.8</v>
      </c>
      <c r="B209" s="96">
        <v>40.299999999999997</v>
      </c>
      <c r="C209" s="96">
        <v>12.3</v>
      </c>
      <c r="D209" s="96">
        <v>1</v>
      </c>
      <c r="E209" s="16">
        <v>4656</v>
      </c>
      <c r="F209" s="97"/>
      <c r="G209" s="97"/>
      <c r="H209" s="97"/>
      <c r="I209" s="97"/>
    </row>
    <row r="210" spans="1:9" x14ac:dyDescent="0.45">
      <c r="A210" s="96">
        <v>31.9</v>
      </c>
      <c r="B210" s="96">
        <v>58.3</v>
      </c>
      <c r="C210" s="96">
        <v>12</v>
      </c>
      <c r="D210" s="96">
        <v>1</v>
      </c>
      <c r="E210" s="16">
        <v>4390</v>
      </c>
      <c r="F210" s="97"/>
      <c r="G210" s="97"/>
      <c r="H210" s="97"/>
      <c r="I210" s="97"/>
    </row>
    <row r="211" spans="1:9" x14ac:dyDescent="0.45">
      <c r="A211" s="96">
        <v>34.4</v>
      </c>
      <c r="B211" s="96">
        <v>54.2</v>
      </c>
      <c r="C211" s="96">
        <v>11.7</v>
      </c>
      <c r="D211" s="96">
        <v>1</v>
      </c>
      <c r="E211" s="16">
        <v>3846</v>
      </c>
      <c r="F211" s="97"/>
      <c r="G211" s="97"/>
      <c r="H211" s="97"/>
      <c r="I211" s="97"/>
    </row>
    <row r="212" spans="1:9" x14ac:dyDescent="0.45">
      <c r="A212" s="96">
        <v>33</v>
      </c>
      <c r="B212" s="96">
        <v>46.6</v>
      </c>
      <c r="C212" s="96">
        <v>11.3</v>
      </c>
      <c r="D212" s="96">
        <v>1</v>
      </c>
      <c r="E212" s="16">
        <v>4475</v>
      </c>
      <c r="F212" s="97"/>
      <c r="G212" s="97"/>
      <c r="H212" s="97"/>
      <c r="I212" s="97"/>
    </row>
    <row r="213" spans="1:9" x14ac:dyDescent="0.45">
      <c r="A213" s="96">
        <v>33</v>
      </c>
      <c r="B213" s="96">
        <v>48.1</v>
      </c>
      <c r="C213" s="96">
        <v>11</v>
      </c>
      <c r="D213" s="96">
        <v>1</v>
      </c>
      <c r="E213" s="16">
        <v>4302</v>
      </c>
      <c r="F213" s="97"/>
      <c r="G213" s="97"/>
      <c r="H213" s="97"/>
      <c r="I213" s="97"/>
    </row>
    <row r="214" spans="1:9" x14ac:dyDescent="0.45">
      <c r="A214" s="96">
        <v>31.6</v>
      </c>
      <c r="B214" s="96">
        <v>55.1</v>
      </c>
      <c r="C214" s="96">
        <v>10.5</v>
      </c>
      <c r="D214" s="96">
        <v>1</v>
      </c>
      <c r="E214" s="16">
        <v>4266</v>
      </c>
      <c r="F214" s="97"/>
      <c r="G214" s="97"/>
      <c r="H214" s="97"/>
      <c r="I214" s="97"/>
    </row>
    <row r="215" spans="1:9" x14ac:dyDescent="0.45">
      <c r="A215" s="96">
        <v>32.1</v>
      </c>
      <c r="B215" s="96">
        <v>49.1</v>
      </c>
      <c r="C215" s="96">
        <v>13.8</v>
      </c>
      <c r="D215" s="96">
        <v>1</v>
      </c>
      <c r="E215" s="16">
        <v>4845</v>
      </c>
      <c r="F215" s="97"/>
      <c r="G215" s="97"/>
      <c r="H215" s="97"/>
      <c r="I215" s="97"/>
    </row>
    <row r="216" spans="1:9" x14ac:dyDescent="0.45">
      <c r="A216" s="96">
        <v>30</v>
      </c>
      <c r="B216" s="96">
        <v>65.8</v>
      </c>
      <c r="C216" s="96">
        <v>9.1</v>
      </c>
      <c r="D216" s="96">
        <v>2</v>
      </c>
      <c r="E216" s="16">
        <v>3574</v>
      </c>
      <c r="F216" s="97"/>
      <c r="G216" s="97"/>
      <c r="H216" s="97"/>
      <c r="I216" s="97"/>
    </row>
    <row r="217" spans="1:9" x14ac:dyDescent="0.45">
      <c r="A217" s="96">
        <v>29.1</v>
      </c>
      <c r="B217" s="96">
        <v>75.8</v>
      </c>
      <c r="C217" s="96">
        <v>13.2</v>
      </c>
      <c r="D217" s="96">
        <v>2</v>
      </c>
      <c r="E217" s="16">
        <v>4576</v>
      </c>
      <c r="F217" s="97"/>
      <c r="G217" s="97"/>
      <c r="H217" s="97"/>
      <c r="I217" s="97"/>
    </row>
    <row r="218" spans="1:9" x14ac:dyDescent="0.45">
      <c r="A218" s="96">
        <v>29.1</v>
      </c>
      <c r="B218" s="96">
        <v>63.1</v>
      </c>
      <c r="C218" s="96">
        <v>12.4</v>
      </c>
      <c r="D218" s="96">
        <v>1</v>
      </c>
      <c r="E218" s="16">
        <v>4866</v>
      </c>
      <c r="F218" s="97"/>
      <c r="G218" s="97"/>
      <c r="H218" s="97"/>
      <c r="I218" s="97"/>
    </row>
    <row r="219" spans="1:9" x14ac:dyDescent="0.45">
      <c r="A219" s="96">
        <v>29.4</v>
      </c>
      <c r="B219" s="96">
        <v>75.5</v>
      </c>
      <c r="C219" s="96">
        <v>15.3</v>
      </c>
      <c r="D219" s="96">
        <v>2</v>
      </c>
      <c r="E219" s="16">
        <v>4294</v>
      </c>
      <c r="F219" s="97"/>
      <c r="G219" s="97"/>
      <c r="H219" s="97"/>
      <c r="I219" s="97"/>
    </row>
    <row r="220" spans="1:9" x14ac:dyDescent="0.45">
      <c r="A220" s="96">
        <v>30.4</v>
      </c>
      <c r="B220" s="96">
        <v>75.3</v>
      </c>
      <c r="C220" s="96">
        <v>13.5</v>
      </c>
      <c r="D220" s="96">
        <v>1</v>
      </c>
      <c r="E220" s="16">
        <v>3785</v>
      </c>
      <c r="F220" s="97"/>
      <c r="G220" s="97"/>
      <c r="H220" s="97"/>
      <c r="I220" s="97"/>
    </row>
    <row r="221" spans="1:9" x14ac:dyDescent="0.45">
      <c r="A221" s="96">
        <v>31.4</v>
      </c>
      <c r="B221" s="96">
        <v>59.2</v>
      </c>
      <c r="C221" s="96">
        <v>12.9</v>
      </c>
      <c r="D221" s="96">
        <v>1</v>
      </c>
      <c r="E221" s="16">
        <v>4326</v>
      </c>
      <c r="F221" s="97"/>
      <c r="G221" s="97"/>
      <c r="H221" s="97"/>
      <c r="I221" s="97"/>
    </row>
    <row r="222" spans="1:9" x14ac:dyDescent="0.45">
      <c r="A222" s="96">
        <v>31.8</v>
      </c>
      <c r="B222" s="96">
        <v>57</v>
      </c>
      <c r="C222" s="96">
        <v>10.1</v>
      </c>
      <c r="D222" s="96">
        <v>1</v>
      </c>
      <c r="E222" s="16">
        <v>4602</v>
      </c>
      <c r="F222" s="97"/>
      <c r="G222" s="97"/>
      <c r="H222" s="97"/>
      <c r="I222" s="97"/>
    </row>
    <row r="223" spans="1:9" x14ac:dyDescent="0.45">
      <c r="A223" s="96">
        <v>31.4</v>
      </c>
      <c r="B223" s="96">
        <v>42.4</v>
      </c>
      <c r="C223" s="96">
        <v>13.4</v>
      </c>
      <c r="D223" s="96">
        <v>1</v>
      </c>
      <c r="E223" s="16">
        <v>4780</v>
      </c>
      <c r="F223" s="97"/>
      <c r="G223" s="97"/>
      <c r="H223" s="97"/>
      <c r="I223" s="97"/>
    </row>
    <row r="224" spans="1:9" x14ac:dyDescent="0.45">
      <c r="A224" s="96">
        <v>29.4</v>
      </c>
      <c r="B224" s="96">
        <v>42.4</v>
      </c>
      <c r="C224" s="96">
        <v>11</v>
      </c>
      <c r="D224" s="96">
        <v>1</v>
      </c>
      <c r="E224" s="16">
        <v>4792</v>
      </c>
      <c r="F224" s="97"/>
      <c r="G224" s="97"/>
      <c r="H224" s="97"/>
      <c r="I224" s="97"/>
    </row>
    <row r="225" spans="1:9" x14ac:dyDescent="0.45">
      <c r="A225" s="96">
        <v>29</v>
      </c>
      <c r="B225" s="96">
        <v>41.5</v>
      </c>
      <c r="C225" s="96">
        <v>8.4</v>
      </c>
      <c r="D225" s="96">
        <v>1</v>
      </c>
      <c r="E225" s="16">
        <v>4905</v>
      </c>
      <c r="F225" s="97"/>
      <c r="G225" s="97"/>
      <c r="H225" s="97"/>
      <c r="I225" s="97"/>
    </row>
    <row r="226" spans="1:9" x14ac:dyDescent="0.45">
      <c r="A226" s="96">
        <v>28.1</v>
      </c>
      <c r="B226" s="96">
        <v>73</v>
      </c>
      <c r="C226" s="96">
        <v>14.2</v>
      </c>
      <c r="D226" s="96">
        <v>2</v>
      </c>
      <c r="E226" s="16">
        <v>4150</v>
      </c>
      <c r="F226" s="97"/>
      <c r="G226" s="97"/>
      <c r="H226" s="97"/>
      <c r="I226" s="97"/>
    </row>
    <row r="227" spans="1:9" x14ac:dyDescent="0.45">
      <c r="A227" s="96">
        <v>27.7</v>
      </c>
      <c r="B227" s="96">
        <v>81.8</v>
      </c>
      <c r="C227" s="96">
        <v>14.9</v>
      </c>
      <c r="D227" s="96">
        <v>2</v>
      </c>
      <c r="E227" s="16">
        <v>3820</v>
      </c>
      <c r="F227" s="97"/>
      <c r="G227" s="97"/>
      <c r="H227" s="97"/>
      <c r="I227" s="97"/>
    </row>
    <row r="228" spans="1:9" x14ac:dyDescent="0.45">
      <c r="A228" s="96">
        <v>27.3</v>
      </c>
      <c r="B228" s="96">
        <v>71.2</v>
      </c>
      <c r="C228" s="96">
        <v>14</v>
      </c>
      <c r="D228" s="96">
        <v>1</v>
      </c>
      <c r="E228" s="16">
        <v>4338</v>
      </c>
      <c r="F228" s="97"/>
      <c r="G228" s="97"/>
      <c r="H228" s="97"/>
      <c r="I228" s="97"/>
    </row>
    <row r="229" spans="1:9" x14ac:dyDescent="0.45">
      <c r="A229" s="96">
        <v>28.7</v>
      </c>
      <c r="B229" s="96">
        <v>57.8</v>
      </c>
      <c r="C229" s="96">
        <v>15.8</v>
      </c>
      <c r="D229" s="96">
        <v>1</v>
      </c>
      <c r="E229" s="16">
        <v>4725</v>
      </c>
      <c r="F229" s="97"/>
      <c r="G229" s="97"/>
      <c r="H229" s="97"/>
      <c r="I229" s="97"/>
    </row>
    <row r="230" spans="1:9" x14ac:dyDescent="0.45">
      <c r="A230" s="96">
        <v>29.7</v>
      </c>
      <c r="B230" s="96">
        <v>57.5</v>
      </c>
      <c r="C230" s="96">
        <v>9.6</v>
      </c>
      <c r="D230" s="96">
        <v>1</v>
      </c>
      <c r="E230" s="16">
        <v>4694</v>
      </c>
      <c r="F230" s="97"/>
      <c r="G230" s="97"/>
      <c r="H230" s="97"/>
      <c r="I230" s="97"/>
    </row>
    <row r="231" spans="1:9" x14ac:dyDescent="0.45">
      <c r="A231" s="96">
        <v>29.2</v>
      </c>
      <c r="B231" s="96">
        <v>65.5</v>
      </c>
      <c r="C231" s="96">
        <v>15.6</v>
      </c>
      <c r="D231" s="96">
        <v>1</v>
      </c>
      <c r="E231" s="16">
        <v>3805</v>
      </c>
      <c r="F231" s="97"/>
      <c r="G231" s="97"/>
      <c r="H231" s="97"/>
      <c r="I231" s="97"/>
    </row>
    <row r="232" spans="1:9" x14ac:dyDescent="0.45">
      <c r="A232" s="96">
        <v>28.1</v>
      </c>
      <c r="B232" s="96">
        <v>72.3</v>
      </c>
      <c r="C232" s="96">
        <v>9.3000000000000007</v>
      </c>
      <c r="D232" s="96">
        <v>2</v>
      </c>
      <c r="E232" s="16">
        <v>4153</v>
      </c>
      <c r="F232" s="97"/>
      <c r="G232" s="97"/>
      <c r="H232" s="97"/>
      <c r="I232" s="97"/>
    </row>
    <row r="233" spans="1:9" x14ac:dyDescent="0.45">
      <c r="A233" s="96">
        <v>28.6</v>
      </c>
      <c r="B233" s="96">
        <v>67.400000000000006</v>
      </c>
      <c r="C233" s="96">
        <v>7</v>
      </c>
      <c r="D233" s="96">
        <v>1</v>
      </c>
      <c r="E233" s="16">
        <v>5191</v>
      </c>
      <c r="F233" s="97"/>
      <c r="G233" s="97"/>
      <c r="H233" s="97"/>
      <c r="I233" s="97"/>
    </row>
    <row r="234" spans="1:9" x14ac:dyDescent="0.45">
      <c r="A234" s="96">
        <v>29.1</v>
      </c>
      <c r="B234" s="96">
        <v>77</v>
      </c>
      <c r="C234" s="96">
        <v>16.7</v>
      </c>
      <c r="D234" s="96">
        <v>1</v>
      </c>
      <c r="E234" s="16">
        <v>3873</v>
      </c>
      <c r="F234" s="97"/>
      <c r="G234" s="97"/>
      <c r="H234" s="97"/>
      <c r="I234" s="97"/>
    </row>
    <row r="235" spans="1:9" x14ac:dyDescent="0.45">
      <c r="A235" s="96">
        <v>28.4</v>
      </c>
      <c r="B235" s="96">
        <v>47</v>
      </c>
      <c r="C235" s="96">
        <v>18.5</v>
      </c>
      <c r="D235" s="96">
        <v>1</v>
      </c>
      <c r="E235" s="16">
        <v>4758</v>
      </c>
      <c r="F235" s="97"/>
      <c r="G235" s="97"/>
      <c r="H235" s="97"/>
      <c r="I235" s="97"/>
    </row>
    <row r="236" spans="1:9" x14ac:dyDescent="0.45">
      <c r="A236" s="96">
        <v>26.3</v>
      </c>
      <c r="B236" s="96">
        <v>45.5</v>
      </c>
      <c r="C236" s="96">
        <v>9.8000000000000007</v>
      </c>
      <c r="D236" s="96">
        <v>1</v>
      </c>
      <c r="E236" s="16">
        <v>5895</v>
      </c>
      <c r="F236" s="97"/>
      <c r="G236" s="97"/>
      <c r="H236" s="97"/>
      <c r="I236" s="97"/>
    </row>
    <row r="237" spans="1:9" x14ac:dyDescent="0.45">
      <c r="A237" s="96">
        <v>27.6</v>
      </c>
      <c r="B237" s="96">
        <v>60.5</v>
      </c>
      <c r="C237" s="96">
        <v>17</v>
      </c>
      <c r="D237" s="96">
        <v>1</v>
      </c>
      <c r="E237" s="16">
        <v>5130</v>
      </c>
      <c r="F237" s="97"/>
      <c r="G237" s="97"/>
      <c r="H237" s="97"/>
      <c r="I237" s="97"/>
    </row>
    <row r="238" spans="1:9" x14ac:dyDescent="0.45">
      <c r="A238" s="96">
        <v>28.1</v>
      </c>
      <c r="B238" s="96">
        <v>77.2</v>
      </c>
      <c r="C238" s="96">
        <v>14.1</v>
      </c>
      <c r="D238" s="96">
        <v>2</v>
      </c>
      <c r="E238" s="16">
        <v>3542</v>
      </c>
      <c r="F238" s="97"/>
      <c r="G238" s="97"/>
      <c r="H238" s="97"/>
      <c r="I238" s="97"/>
    </row>
    <row r="239" spans="1:9" x14ac:dyDescent="0.45">
      <c r="A239" s="96">
        <v>28.7</v>
      </c>
      <c r="B239" s="96">
        <v>76.099999999999994</v>
      </c>
      <c r="C239" s="96">
        <v>5.6</v>
      </c>
      <c r="D239" s="96">
        <v>1</v>
      </c>
      <c r="E239" s="16">
        <v>4661</v>
      </c>
      <c r="F239" s="97"/>
      <c r="G239" s="97"/>
      <c r="H239" s="97"/>
      <c r="I239" s="97"/>
    </row>
    <row r="240" spans="1:9" x14ac:dyDescent="0.45">
      <c r="A240" s="96">
        <v>27.9</v>
      </c>
      <c r="B240" s="96">
        <v>85</v>
      </c>
      <c r="C240" s="96">
        <v>25.2</v>
      </c>
      <c r="D240" s="96">
        <v>2</v>
      </c>
      <c r="E240" s="16">
        <v>1115</v>
      </c>
      <c r="F240" s="97"/>
      <c r="G240" s="97"/>
      <c r="H240" s="97"/>
      <c r="I240" s="97"/>
    </row>
    <row r="241" spans="1:9" x14ac:dyDescent="0.45">
      <c r="A241" s="96">
        <v>29</v>
      </c>
      <c r="B241" s="96">
        <v>56.2</v>
      </c>
      <c r="C241" s="96">
        <v>20.399999999999999</v>
      </c>
      <c r="D241" s="96">
        <v>1</v>
      </c>
      <c r="E241" s="16">
        <v>4334</v>
      </c>
      <c r="F241" s="97"/>
      <c r="G241" s="97"/>
      <c r="H241" s="97"/>
      <c r="I241" s="97"/>
    </row>
    <row r="242" spans="1:9" x14ac:dyDescent="0.45">
      <c r="A242" s="96">
        <v>26.1</v>
      </c>
      <c r="B242" s="96">
        <v>55.5</v>
      </c>
      <c r="C242" s="96">
        <v>10.7</v>
      </c>
      <c r="D242" s="96">
        <v>1</v>
      </c>
      <c r="E242" s="16">
        <v>4634</v>
      </c>
      <c r="F242" s="97"/>
      <c r="G242" s="97"/>
      <c r="H242" s="97"/>
      <c r="I242" s="97"/>
    </row>
    <row r="243" spans="1:9" x14ac:dyDescent="0.45">
      <c r="A243" s="96">
        <v>26.2</v>
      </c>
      <c r="B243" s="96">
        <v>54.8</v>
      </c>
      <c r="C243" s="96">
        <v>8.4</v>
      </c>
      <c r="D243" s="96">
        <v>1</v>
      </c>
      <c r="E243" s="16">
        <v>5204</v>
      </c>
      <c r="F243" s="97"/>
      <c r="G243" s="97"/>
      <c r="H243" s="97"/>
      <c r="I243" s="97"/>
    </row>
    <row r="244" spans="1:9" x14ac:dyDescent="0.45">
      <c r="A244" s="96">
        <v>26.9</v>
      </c>
      <c r="B244" s="96">
        <v>59.8</v>
      </c>
      <c r="C244" s="96">
        <v>5.6</v>
      </c>
      <c r="D244" s="96">
        <v>1</v>
      </c>
      <c r="E244" s="16">
        <v>5058</v>
      </c>
      <c r="F244" s="97"/>
      <c r="G244" s="97"/>
      <c r="H244" s="97"/>
      <c r="I244" s="97"/>
    </row>
    <row r="245" spans="1:9" x14ac:dyDescent="0.45">
      <c r="A245" s="96">
        <v>26.9</v>
      </c>
      <c r="B245" s="96">
        <v>63.9</v>
      </c>
      <c r="C245" s="96">
        <v>9.5</v>
      </c>
      <c r="D245" s="96">
        <v>1</v>
      </c>
      <c r="E245" s="16">
        <v>5115</v>
      </c>
      <c r="F245" s="97"/>
      <c r="G245" s="97"/>
      <c r="H245" s="97"/>
      <c r="I245" s="97"/>
    </row>
    <row r="246" spans="1:9" x14ac:dyDescent="0.45">
      <c r="A246" s="96">
        <v>26.4</v>
      </c>
      <c r="B246" s="96">
        <v>72.7</v>
      </c>
      <c r="C246" s="96">
        <v>9.4</v>
      </c>
      <c r="D246" s="96">
        <v>2</v>
      </c>
      <c r="E246" s="16">
        <v>4727</v>
      </c>
      <c r="F246" s="97"/>
      <c r="G246" s="97"/>
      <c r="H246" s="97"/>
      <c r="I246" s="97"/>
    </row>
    <row r="247" spans="1:9" x14ac:dyDescent="0.45">
      <c r="A247" s="96">
        <v>27.4</v>
      </c>
      <c r="B247" s="96">
        <v>71.7</v>
      </c>
      <c r="C247" s="96">
        <v>12.4</v>
      </c>
      <c r="D247" s="96">
        <v>1</v>
      </c>
      <c r="E247" s="16">
        <v>4484</v>
      </c>
      <c r="F247" s="97"/>
      <c r="G247" s="97"/>
      <c r="H247" s="97"/>
      <c r="I247" s="97"/>
    </row>
    <row r="248" spans="1:9" x14ac:dyDescent="0.45">
      <c r="A248" s="96">
        <v>29.1</v>
      </c>
      <c r="B248" s="96">
        <v>74.2</v>
      </c>
      <c r="C248" s="96">
        <v>13.8</v>
      </c>
      <c r="D248" s="96">
        <v>1</v>
      </c>
      <c r="E248" s="16">
        <v>4940</v>
      </c>
      <c r="F248" s="97"/>
      <c r="G248" s="97"/>
      <c r="H248" s="97"/>
      <c r="I248" s="97"/>
    </row>
    <row r="249" spans="1:9" x14ac:dyDescent="0.45">
      <c r="A249" s="96">
        <v>27.6</v>
      </c>
      <c r="B249" s="96">
        <v>79</v>
      </c>
      <c r="C249" s="96">
        <v>14.3</v>
      </c>
      <c r="D249" s="96">
        <v>2</v>
      </c>
      <c r="E249" s="16">
        <v>3351</v>
      </c>
      <c r="F249" s="97"/>
      <c r="G249" s="97"/>
      <c r="H249" s="97"/>
      <c r="I249" s="97"/>
    </row>
    <row r="250" spans="1:9" x14ac:dyDescent="0.45">
      <c r="A250" s="96">
        <v>22.1</v>
      </c>
      <c r="B250" s="96">
        <v>88.7</v>
      </c>
      <c r="C250" s="96">
        <v>23</v>
      </c>
      <c r="D250" s="96">
        <v>3</v>
      </c>
      <c r="E250" s="16">
        <v>2710</v>
      </c>
      <c r="F250" s="97"/>
      <c r="G250" s="97"/>
      <c r="H250" s="97"/>
      <c r="I250" s="97"/>
    </row>
    <row r="251" spans="1:9" x14ac:dyDescent="0.45">
      <c r="A251" s="96">
        <v>24.6</v>
      </c>
      <c r="B251" s="96">
        <v>91.7</v>
      </c>
      <c r="C251" s="96">
        <v>6.5</v>
      </c>
      <c r="D251" s="96">
        <v>3</v>
      </c>
      <c r="E251" s="16">
        <v>1996</v>
      </c>
      <c r="F251" s="97"/>
      <c r="G251" s="97"/>
      <c r="H251" s="97"/>
      <c r="I251" s="97"/>
    </row>
    <row r="252" spans="1:9" x14ac:dyDescent="0.45">
      <c r="A252" s="96">
        <v>26</v>
      </c>
      <c r="B252" s="96">
        <v>94</v>
      </c>
      <c r="C252" s="96">
        <v>12.9</v>
      </c>
      <c r="D252" s="96">
        <v>3</v>
      </c>
      <c r="E252" s="16">
        <v>1842</v>
      </c>
      <c r="F252" s="97"/>
      <c r="G252" s="97"/>
      <c r="H252" s="97"/>
      <c r="I252" s="97"/>
    </row>
    <row r="253" spans="1:9" x14ac:dyDescent="0.45">
      <c r="A253" s="96">
        <v>26.6</v>
      </c>
      <c r="B253" s="96">
        <v>89.8</v>
      </c>
      <c r="C253" s="96">
        <v>8.3000000000000007</v>
      </c>
      <c r="D253" s="96">
        <v>2</v>
      </c>
      <c r="E253" s="16">
        <v>3544</v>
      </c>
      <c r="F253" s="97"/>
      <c r="G253" s="97"/>
      <c r="H253" s="97"/>
      <c r="I253" s="97"/>
    </row>
    <row r="254" spans="1:9" x14ac:dyDescent="0.45">
      <c r="A254" s="96">
        <v>27.1</v>
      </c>
      <c r="B254" s="96">
        <v>75.400000000000006</v>
      </c>
      <c r="C254" s="96">
        <v>10.3</v>
      </c>
      <c r="D254" s="96">
        <v>1</v>
      </c>
      <c r="E254" s="16">
        <v>5345</v>
      </c>
      <c r="F254" s="97"/>
      <c r="G254" s="97"/>
      <c r="H254" s="97"/>
      <c r="I254" s="97"/>
    </row>
    <row r="255" spans="1:9" x14ac:dyDescent="0.45">
      <c r="A255" s="96">
        <v>26.8</v>
      </c>
      <c r="B255" s="96">
        <v>71.400000000000006</v>
      </c>
      <c r="C255" s="96">
        <v>7.7</v>
      </c>
      <c r="D255" s="96">
        <v>1</v>
      </c>
      <c r="E255" s="16">
        <v>5046</v>
      </c>
      <c r="F255" s="97"/>
      <c r="G255" s="97"/>
      <c r="H255" s="97"/>
      <c r="I255" s="97"/>
    </row>
    <row r="256" spans="1:9" x14ac:dyDescent="0.45">
      <c r="A256" s="96">
        <v>26.4</v>
      </c>
      <c r="B256" s="96">
        <v>69.2</v>
      </c>
      <c r="C256" s="96">
        <v>6</v>
      </c>
      <c r="D256" s="96">
        <v>1</v>
      </c>
      <c r="E256" s="16">
        <v>4713</v>
      </c>
      <c r="F256" s="97"/>
      <c r="G256" s="97"/>
      <c r="H256" s="97"/>
      <c r="I256" s="97"/>
    </row>
    <row r="257" spans="1:9" x14ac:dyDescent="0.45">
      <c r="A257" s="96">
        <v>26.7</v>
      </c>
      <c r="B257" s="96">
        <v>71.2</v>
      </c>
      <c r="C257" s="96">
        <v>9.5</v>
      </c>
      <c r="D257" s="96">
        <v>1</v>
      </c>
      <c r="E257" s="16">
        <v>4763</v>
      </c>
      <c r="F257" s="97"/>
      <c r="G257" s="97"/>
      <c r="H257" s="97"/>
      <c r="I257" s="97"/>
    </row>
    <row r="258" spans="1:9" x14ac:dyDescent="0.45">
      <c r="A258" s="96">
        <v>27.6</v>
      </c>
      <c r="B258" s="96">
        <v>69.7</v>
      </c>
      <c r="C258" s="96">
        <v>11.2</v>
      </c>
      <c r="D258" s="96">
        <v>1</v>
      </c>
      <c r="E258" s="16">
        <v>4785</v>
      </c>
      <c r="F258" s="97"/>
      <c r="G258" s="97"/>
      <c r="H258" s="97"/>
      <c r="I258" s="97"/>
    </row>
    <row r="259" spans="1:9" x14ac:dyDescent="0.45">
      <c r="A259" s="96">
        <v>23.7</v>
      </c>
      <c r="B259" s="96">
        <v>70.900000000000006</v>
      </c>
      <c r="C259" s="96">
        <v>18.2</v>
      </c>
      <c r="D259" s="96">
        <v>2</v>
      </c>
      <c r="E259" s="16">
        <v>3659</v>
      </c>
      <c r="F259" s="97"/>
      <c r="G259" s="97"/>
      <c r="H259" s="97"/>
      <c r="I259" s="97"/>
    </row>
    <row r="260" spans="1:9" x14ac:dyDescent="0.45">
      <c r="A260" s="96">
        <v>19.2</v>
      </c>
      <c r="B260" s="96">
        <v>59</v>
      </c>
      <c r="C260" s="96">
        <v>11</v>
      </c>
      <c r="D260" s="96">
        <v>2</v>
      </c>
      <c r="E260" s="16">
        <v>4760</v>
      </c>
      <c r="F260" s="97"/>
      <c r="G260" s="97"/>
      <c r="H260" s="97"/>
      <c r="I260" s="97"/>
    </row>
    <row r="261" spans="1:9" x14ac:dyDescent="0.45">
      <c r="A261" s="96">
        <v>20.2</v>
      </c>
      <c r="B261" s="96">
        <v>71.8</v>
      </c>
      <c r="C261" s="96">
        <v>12.7</v>
      </c>
      <c r="D261" s="96">
        <v>2</v>
      </c>
      <c r="E261" s="16">
        <v>4511</v>
      </c>
      <c r="F261" s="97"/>
      <c r="G261" s="97"/>
      <c r="H261" s="97"/>
      <c r="I261" s="97"/>
    </row>
    <row r="262" spans="1:9" x14ac:dyDescent="0.45">
      <c r="A262" s="96">
        <v>20.8</v>
      </c>
      <c r="B262" s="96">
        <v>69.5</v>
      </c>
      <c r="C262" s="96">
        <v>12</v>
      </c>
      <c r="D262" s="96">
        <v>1</v>
      </c>
      <c r="E262" s="16">
        <v>4274</v>
      </c>
      <c r="F262" s="97"/>
      <c r="G262" s="97"/>
      <c r="H262" s="97"/>
      <c r="I262" s="97"/>
    </row>
    <row r="263" spans="1:9" x14ac:dyDescent="0.45">
      <c r="A263" s="96">
        <v>22.5</v>
      </c>
      <c r="B263" s="96">
        <v>69</v>
      </c>
      <c r="C263" s="96">
        <v>10.199999999999999</v>
      </c>
      <c r="D263" s="96">
        <v>2</v>
      </c>
      <c r="E263" s="16">
        <v>4539</v>
      </c>
      <c r="F263" s="97"/>
      <c r="G263" s="97"/>
      <c r="H263" s="97"/>
      <c r="I263" s="97"/>
    </row>
    <row r="264" spans="1:9" x14ac:dyDescent="0.45">
      <c r="A264" s="96">
        <v>23</v>
      </c>
      <c r="B264" s="96">
        <v>88.1</v>
      </c>
      <c r="C264" s="96">
        <v>9</v>
      </c>
      <c r="D264" s="96">
        <v>2</v>
      </c>
      <c r="E264" s="16">
        <v>3641</v>
      </c>
      <c r="F264" s="97"/>
      <c r="G264" s="97"/>
      <c r="H264" s="97"/>
      <c r="I264" s="97"/>
    </row>
    <row r="265" spans="1:9" x14ac:dyDescent="0.45">
      <c r="A265" s="96">
        <v>24.4</v>
      </c>
      <c r="B265" s="96">
        <v>90</v>
      </c>
      <c r="C265" s="96">
        <v>6.5</v>
      </c>
      <c r="D265" s="96">
        <v>2</v>
      </c>
      <c r="E265" s="16">
        <v>4352</v>
      </c>
      <c r="F265" s="97"/>
      <c r="G265" s="97"/>
      <c r="H265" s="97"/>
      <c r="I265" s="97"/>
    </row>
    <row r="266" spans="1:9" x14ac:dyDescent="0.45">
      <c r="A266" s="96">
        <v>25.8</v>
      </c>
      <c r="B266" s="96">
        <v>90.2</v>
      </c>
      <c r="C266" s="96">
        <v>8.6</v>
      </c>
      <c r="D266" s="96">
        <v>2</v>
      </c>
      <c r="E266" s="16">
        <v>4795</v>
      </c>
      <c r="F266" s="97"/>
      <c r="G266" s="97"/>
      <c r="H266" s="97"/>
      <c r="I266" s="97"/>
    </row>
    <row r="267" spans="1:9" x14ac:dyDescent="0.45">
      <c r="A267" s="96">
        <v>25</v>
      </c>
      <c r="B267" s="96">
        <v>97.2</v>
      </c>
      <c r="C267" s="96">
        <v>5.3</v>
      </c>
      <c r="D267" s="96">
        <v>2</v>
      </c>
      <c r="E267" s="16">
        <v>2395</v>
      </c>
      <c r="F267" s="97"/>
      <c r="G267" s="97"/>
      <c r="H267" s="97"/>
      <c r="I267" s="97"/>
    </row>
    <row r="268" spans="1:9" x14ac:dyDescent="0.45">
      <c r="A268" s="96">
        <v>24.9</v>
      </c>
      <c r="B268" s="96">
        <v>86.2</v>
      </c>
      <c r="C268" s="96">
        <v>5.3</v>
      </c>
      <c r="D268" s="96">
        <v>2</v>
      </c>
      <c r="E268" s="16">
        <v>5423</v>
      </c>
      <c r="F268" s="97"/>
      <c r="G268" s="97"/>
      <c r="H268" s="97"/>
      <c r="I268" s="97"/>
    </row>
    <row r="269" spans="1:9" x14ac:dyDescent="0.45">
      <c r="A269" s="96">
        <v>26</v>
      </c>
      <c r="B269" s="96">
        <v>84.5</v>
      </c>
      <c r="C269" s="96">
        <v>3.4</v>
      </c>
      <c r="D269" s="96">
        <v>2</v>
      </c>
      <c r="E269" s="16">
        <v>5010</v>
      </c>
      <c r="F269" s="97"/>
      <c r="G269" s="97"/>
      <c r="H269" s="97"/>
      <c r="I269" s="97"/>
    </row>
    <row r="270" spans="1:9" x14ac:dyDescent="0.45">
      <c r="A270" s="96">
        <v>26.6</v>
      </c>
      <c r="B270" s="96">
        <v>84.8</v>
      </c>
      <c r="C270" s="96">
        <v>7.4</v>
      </c>
      <c r="D270" s="96">
        <v>2</v>
      </c>
      <c r="E270" s="16">
        <v>4630</v>
      </c>
      <c r="F270" s="97"/>
      <c r="G270" s="97"/>
      <c r="H270" s="97"/>
      <c r="I270" s="97"/>
    </row>
    <row r="271" spans="1:9" x14ac:dyDescent="0.45">
      <c r="A271" s="96">
        <v>26.1</v>
      </c>
      <c r="B271" s="96">
        <v>88.5</v>
      </c>
      <c r="C271" s="96">
        <v>7.9</v>
      </c>
      <c r="D271" s="96">
        <v>2</v>
      </c>
      <c r="E271" s="16">
        <v>4120</v>
      </c>
      <c r="F271" s="97"/>
      <c r="G271" s="97"/>
      <c r="H271" s="97"/>
      <c r="I271" s="97"/>
    </row>
    <row r="272" spans="1:9" x14ac:dyDescent="0.45">
      <c r="A272" s="96">
        <v>26</v>
      </c>
      <c r="B272" s="96">
        <v>84.9</v>
      </c>
      <c r="C272" s="96">
        <v>10</v>
      </c>
      <c r="D272" s="96">
        <v>2</v>
      </c>
      <c r="E272" s="16">
        <v>3907</v>
      </c>
      <c r="F272" s="97"/>
      <c r="G272" s="97"/>
      <c r="H272" s="97"/>
      <c r="I272" s="97"/>
    </row>
    <row r="273" spans="1:9" x14ac:dyDescent="0.45">
      <c r="A273" s="96">
        <v>25.3</v>
      </c>
      <c r="B273" s="96">
        <v>69.900000000000006</v>
      </c>
      <c r="C273" s="96">
        <v>11.6</v>
      </c>
      <c r="D273" s="96">
        <v>1</v>
      </c>
      <c r="E273" s="16">
        <v>4839</v>
      </c>
      <c r="F273" s="97"/>
      <c r="G273" s="97"/>
      <c r="H273" s="97"/>
      <c r="I273" s="97"/>
    </row>
    <row r="274" spans="1:9" x14ac:dyDescent="0.45">
      <c r="A274" s="96">
        <v>23.1</v>
      </c>
      <c r="B274" s="96">
        <v>64.8</v>
      </c>
      <c r="C274" s="96">
        <v>13.8</v>
      </c>
      <c r="D274" s="96">
        <v>1</v>
      </c>
      <c r="E274" s="16">
        <v>5202</v>
      </c>
      <c r="F274" s="97"/>
      <c r="G274" s="97"/>
      <c r="H274" s="97"/>
      <c r="I274" s="97"/>
    </row>
    <row r="275" spans="1:9" x14ac:dyDescent="0.45">
      <c r="A275" s="96">
        <v>16.8</v>
      </c>
      <c r="B275" s="96">
        <v>75.400000000000006</v>
      </c>
      <c r="C275" s="96">
        <v>19.600000000000001</v>
      </c>
      <c r="D275" s="96">
        <v>2</v>
      </c>
      <c r="E275" s="16">
        <v>2429</v>
      </c>
      <c r="F275" s="97"/>
      <c r="G275" s="97"/>
      <c r="H275" s="97"/>
      <c r="I275" s="97"/>
    </row>
    <row r="276" spans="1:9" x14ac:dyDescent="0.45">
      <c r="A276" s="96">
        <v>14.6</v>
      </c>
      <c r="B276" s="96">
        <v>79.2</v>
      </c>
      <c r="C276" s="96">
        <v>14.9</v>
      </c>
      <c r="D276" s="96">
        <v>2</v>
      </c>
      <c r="E276" s="16">
        <v>2918</v>
      </c>
      <c r="F276" s="97"/>
      <c r="G276" s="97"/>
      <c r="H276" s="97"/>
      <c r="I276" s="97"/>
    </row>
    <row r="277" spans="1:9" x14ac:dyDescent="0.45">
      <c r="A277" s="96">
        <v>15.8</v>
      </c>
      <c r="B277" s="96">
        <v>76.099999999999994</v>
      </c>
      <c r="C277" s="96">
        <v>5.6</v>
      </c>
      <c r="D277" s="96">
        <v>2</v>
      </c>
      <c r="E277" s="16">
        <v>3570</v>
      </c>
      <c r="F277" s="97"/>
      <c r="G277" s="97"/>
      <c r="H277" s="97"/>
      <c r="I277" s="97"/>
    </row>
    <row r="278" spans="1:9" x14ac:dyDescent="0.45">
      <c r="A278" s="96">
        <v>19.899999999999999</v>
      </c>
      <c r="B278" s="96">
        <v>71</v>
      </c>
      <c r="C278" s="96">
        <v>13.8</v>
      </c>
      <c r="D278" s="96">
        <v>1</v>
      </c>
      <c r="E278" s="16">
        <v>4456</v>
      </c>
      <c r="F278" s="97"/>
      <c r="G278" s="97"/>
      <c r="H278" s="97"/>
      <c r="I278" s="97"/>
    </row>
    <row r="279" spans="1:9" x14ac:dyDescent="0.45">
      <c r="A279" s="96">
        <v>22.1</v>
      </c>
      <c r="B279" s="96">
        <v>64.8</v>
      </c>
      <c r="C279" s="96">
        <v>11.9</v>
      </c>
      <c r="D279" s="96">
        <v>1</v>
      </c>
      <c r="E279" s="16">
        <v>4826</v>
      </c>
      <c r="F279" s="97"/>
      <c r="G279" s="97"/>
      <c r="H279" s="97"/>
      <c r="I279" s="97"/>
    </row>
    <row r="280" spans="1:9" x14ac:dyDescent="0.45">
      <c r="A280" s="96">
        <v>20.3</v>
      </c>
      <c r="B280" s="96">
        <v>62.1</v>
      </c>
      <c r="C280" s="96">
        <v>9</v>
      </c>
      <c r="D280" s="96">
        <v>1</v>
      </c>
      <c r="E280" s="16">
        <v>4765</v>
      </c>
      <c r="F280" s="97"/>
      <c r="G280" s="97"/>
      <c r="H280" s="97"/>
      <c r="I280" s="97"/>
    </row>
    <row r="281" spans="1:9" x14ac:dyDescent="0.45">
      <c r="A281" s="96">
        <v>20.9</v>
      </c>
      <c r="B281" s="96">
        <v>68.400000000000006</v>
      </c>
      <c r="C281" s="96">
        <v>1.5</v>
      </c>
      <c r="D281" s="96">
        <v>1</v>
      </c>
      <c r="E281" s="16">
        <v>4985</v>
      </c>
      <c r="F281" s="97"/>
      <c r="G281" s="97"/>
      <c r="H281" s="97"/>
      <c r="I281" s="97"/>
    </row>
    <row r="282" spans="1:9" x14ac:dyDescent="0.45">
      <c r="A282" s="96">
        <v>21.4</v>
      </c>
      <c r="B282" s="96">
        <v>70.099999999999994</v>
      </c>
      <c r="C282" s="96">
        <v>3</v>
      </c>
      <c r="D282" s="96">
        <v>1</v>
      </c>
      <c r="E282" s="16">
        <v>5409</v>
      </c>
      <c r="F282" s="97"/>
      <c r="G282" s="97"/>
      <c r="H282" s="97"/>
      <c r="I282" s="97"/>
    </row>
    <row r="283" spans="1:9" x14ac:dyDescent="0.45">
      <c r="A283" s="96">
        <v>22.2</v>
      </c>
      <c r="B283" s="96">
        <v>72.8</v>
      </c>
      <c r="C283" s="96">
        <v>4.3</v>
      </c>
      <c r="D283" s="96">
        <v>1</v>
      </c>
      <c r="E283" s="16">
        <v>5511</v>
      </c>
      <c r="F283" s="97"/>
      <c r="G283" s="97"/>
      <c r="H283" s="97"/>
      <c r="I283" s="97"/>
    </row>
    <row r="284" spans="1:9" x14ac:dyDescent="0.45">
      <c r="A284" s="96">
        <v>23.4</v>
      </c>
      <c r="B284" s="96">
        <v>73.400000000000006</v>
      </c>
      <c r="C284" s="96">
        <v>2.8</v>
      </c>
      <c r="D284" s="96">
        <v>1</v>
      </c>
      <c r="E284" s="16">
        <v>5117</v>
      </c>
      <c r="F284" s="97"/>
      <c r="G284" s="97"/>
      <c r="H284" s="97"/>
      <c r="I284" s="97"/>
    </row>
    <row r="285" spans="1:9" x14ac:dyDescent="0.45">
      <c r="A285" s="96">
        <v>23.2</v>
      </c>
      <c r="B285" s="96">
        <v>80.900000000000006</v>
      </c>
      <c r="C285" s="96">
        <v>9.6</v>
      </c>
      <c r="D285" s="96">
        <v>2</v>
      </c>
      <c r="E285" s="16">
        <v>4563</v>
      </c>
      <c r="F285" s="97"/>
      <c r="G285" s="97"/>
      <c r="H285" s="97"/>
      <c r="I285" s="97"/>
    </row>
    <row r="286" spans="1:9" x14ac:dyDescent="0.45">
      <c r="A286" s="96">
        <v>22.3</v>
      </c>
      <c r="B286" s="96">
        <v>90.6</v>
      </c>
      <c r="C286" s="96">
        <v>16.600000000000001</v>
      </c>
      <c r="D286" s="96">
        <v>3</v>
      </c>
      <c r="E286" s="16">
        <v>2416</v>
      </c>
      <c r="F286" s="97"/>
      <c r="G286" s="97"/>
      <c r="H286" s="97"/>
      <c r="I286" s="97"/>
    </row>
    <row r="287" spans="1:9" x14ac:dyDescent="0.45">
      <c r="A287" s="96">
        <v>24.2</v>
      </c>
      <c r="B287" s="96">
        <v>89.7</v>
      </c>
      <c r="C287" s="96">
        <v>9.5</v>
      </c>
      <c r="D287" s="96">
        <v>2</v>
      </c>
      <c r="E287" s="16">
        <v>2913</v>
      </c>
      <c r="F287" s="97"/>
      <c r="G287" s="97"/>
      <c r="H287" s="97"/>
      <c r="I287" s="97"/>
    </row>
    <row r="288" spans="1:9" x14ac:dyDescent="0.45">
      <c r="A288" s="96">
        <v>22.6</v>
      </c>
      <c r="B288" s="96">
        <v>71.599999999999994</v>
      </c>
      <c r="C288" s="96">
        <v>15</v>
      </c>
      <c r="D288" s="96">
        <v>2</v>
      </c>
      <c r="E288" s="16">
        <v>3644</v>
      </c>
      <c r="F288" s="97"/>
      <c r="G288" s="97"/>
      <c r="H288" s="97"/>
      <c r="I288" s="97"/>
    </row>
    <row r="289" spans="1:9" x14ac:dyDescent="0.45">
      <c r="A289" s="96">
        <v>20.8</v>
      </c>
      <c r="B289" s="96">
        <v>48.3</v>
      </c>
      <c r="C289" s="96">
        <v>17.3</v>
      </c>
      <c r="D289" s="96">
        <v>1</v>
      </c>
      <c r="E289" s="16">
        <v>5217</v>
      </c>
      <c r="F289" s="97"/>
      <c r="G289" s="97"/>
      <c r="H289" s="97"/>
      <c r="I289" s="97"/>
    </row>
    <row r="290" spans="1:9" x14ac:dyDescent="0.45">
      <c r="A290" s="96">
        <v>21</v>
      </c>
      <c r="B290" s="96">
        <v>48.7</v>
      </c>
      <c r="C290" s="96">
        <v>18.899999999999999</v>
      </c>
      <c r="D290" s="96">
        <v>1</v>
      </c>
      <c r="E290" s="16">
        <v>5041</v>
      </c>
      <c r="F290" s="97"/>
      <c r="G290" s="97"/>
      <c r="H290" s="97"/>
      <c r="I290" s="97"/>
    </row>
    <row r="291" spans="1:9" x14ac:dyDescent="0.45">
      <c r="A291" s="96">
        <v>21.9</v>
      </c>
      <c r="B291" s="96">
        <v>58</v>
      </c>
      <c r="C291" s="96">
        <v>11.8</v>
      </c>
      <c r="D291" s="96">
        <v>1</v>
      </c>
      <c r="E291" s="16">
        <v>4570</v>
      </c>
      <c r="F291" s="97"/>
      <c r="G291" s="97"/>
      <c r="H291" s="97"/>
      <c r="I291" s="97"/>
    </row>
    <row r="292" spans="1:9" x14ac:dyDescent="0.45">
      <c r="A292" s="96">
        <v>21.8</v>
      </c>
      <c r="B292" s="96">
        <v>70.2</v>
      </c>
      <c r="C292" s="96">
        <v>7.4</v>
      </c>
      <c r="D292" s="96">
        <v>2</v>
      </c>
      <c r="E292" s="16">
        <v>4748</v>
      </c>
      <c r="F292" s="97"/>
      <c r="G292" s="97"/>
      <c r="H292" s="97"/>
      <c r="I292" s="97"/>
    </row>
    <row r="293" spans="1:9" x14ac:dyDescent="0.45">
      <c r="A293" s="96">
        <v>22.2</v>
      </c>
      <c r="B293" s="96">
        <v>89.5</v>
      </c>
      <c r="C293" s="96">
        <v>16.3</v>
      </c>
      <c r="D293" s="96">
        <v>3</v>
      </c>
      <c r="E293" s="16">
        <v>2424</v>
      </c>
      <c r="F293" s="97"/>
      <c r="G293" s="97"/>
      <c r="H293" s="97"/>
      <c r="I293" s="97"/>
    </row>
    <row r="294" spans="1:9" x14ac:dyDescent="0.45">
      <c r="A294" s="96">
        <v>19.5</v>
      </c>
      <c r="B294" s="96">
        <v>63.6</v>
      </c>
      <c r="C294" s="96">
        <v>28.3</v>
      </c>
      <c r="D294" s="96">
        <v>1</v>
      </c>
      <c r="E294" s="16">
        <v>4195</v>
      </c>
      <c r="F294" s="97"/>
      <c r="G294" s="97"/>
      <c r="H294" s="97"/>
      <c r="I294" s="97"/>
    </row>
    <row r="295" spans="1:9" x14ac:dyDescent="0.45">
      <c r="A295" s="96">
        <v>17.5</v>
      </c>
      <c r="B295" s="96">
        <v>57.4</v>
      </c>
      <c r="C295" s="96">
        <v>14.8</v>
      </c>
      <c r="D295" s="96">
        <v>1</v>
      </c>
      <c r="E295" s="16">
        <v>4304</v>
      </c>
      <c r="F295" s="97"/>
      <c r="G295" s="97"/>
      <c r="H295" s="97"/>
      <c r="I295" s="97"/>
    </row>
    <row r="296" spans="1:9" x14ac:dyDescent="0.45">
      <c r="A296" s="96">
        <v>17.3</v>
      </c>
      <c r="B296" s="96">
        <v>62.9</v>
      </c>
      <c r="C296" s="96">
        <v>6.2</v>
      </c>
      <c r="D296" s="96">
        <v>1</v>
      </c>
      <c r="E296" s="16">
        <v>4308</v>
      </c>
      <c r="F296" s="97"/>
      <c r="G296" s="97"/>
      <c r="H296" s="97"/>
      <c r="I296" s="97"/>
    </row>
    <row r="297" spans="1:9" x14ac:dyDescent="0.45">
      <c r="A297" s="96">
        <v>17.3</v>
      </c>
      <c r="B297" s="96">
        <v>74.099999999999994</v>
      </c>
      <c r="C297" s="96">
        <v>6.7</v>
      </c>
      <c r="D297" s="96">
        <v>1</v>
      </c>
      <c r="E297" s="16">
        <v>4381</v>
      </c>
      <c r="F297" s="97"/>
      <c r="G297" s="97"/>
      <c r="H297" s="97"/>
      <c r="I297" s="97"/>
    </row>
    <row r="298" spans="1:9" x14ac:dyDescent="0.45">
      <c r="A298" s="96">
        <v>19</v>
      </c>
      <c r="B298" s="96">
        <v>77.2</v>
      </c>
      <c r="C298" s="96">
        <v>8</v>
      </c>
      <c r="D298" s="96">
        <v>1</v>
      </c>
      <c r="E298" s="16">
        <v>4187</v>
      </c>
      <c r="F298" s="97"/>
      <c r="G298" s="97"/>
      <c r="H298" s="97"/>
      <c r="I298" s="97"/>
    </row>
    <row r="299" spans="1:9" x14ac:dyDescent="0.45">
      <c r="A299" s="96">
        <v>19.3</v>
      </c>
      <c r="B299" s="96">
        <v>62.3</v>
      </c>
      <c r="C299" s="96">
        <v>11.2</v>
      </c>
      <c r="D299" s="96">
        <v>1</v>
      </c>
      <c r="E299" s="16">
        <v>4687</v>
      </c>
      <c r="F299" s="97"/>
      <c r="G299" s="97"/>
      <c r="H299" s="97"/>
      <c r="I299" s="97"/>
    </row>
    <row r="300" spans="1:9" x14ac:dyDescent="0.45">
      <c r="A300" s="96">
        <v>19.899999999999999</v>
      </c>
      <c r="B300" s="96">
        <v>72</v>
      </c>
      <c r="C300" s="96">
        <v>10</v>
      </c>
      <c r="D300" s="96">
        <v>2</v>
      </c>
      <c r="E300" s="16">
        <v>3894</v>
      </c>
      <c r="F300" s="97"/>
      <c r="G300" s="97"/>
      <c r="H300" s="97"/>
      <c r="I300" s="97"/>
    </row>
    <row r="301" spans="1:9" x14ac:dyDescent="0.45">
      <c r="A301" s="96">
        <v>19.3</v>
      </c>
      <c r="B301" s="96">
        <v>81.3</v>
      </c>
      <c r="C301" s="96">
        <v>13.3</v>
      </c>
      <c r="D301" s="96">
        <v>2</v>
      </c>
      <c r="E301" s="16">
        <v>2659</v>
      </c>
      <c r="F301" s="97"/>
      <c r="G301" s="97"/>
      <c r="H301" s="97"/>
      <c r="I301" s="97"/>
    </row>
    <row r="302" spans="1:9" x14ac:dyDescent="0.45">
      <c r="A302" s="96">
        <v>13.6</v>
      </c>
      <c r="B302" s="96">
        <v>58.6</v>
      </c>
      <c r="C302" s="96">
        <v>15.4</v>
      </c>
      <c r="D302" s="96">
        <v>2</v>
      </c>
      <c r="E302" s="16">
        <v>3747</v>
      </c>
      <c r="F302" s="97"/>
      <c r="G302" s="97"/>
      <c r="H302" s="97"/>
      <c r="I302" s="97"/>
    </row>
    <row r="303" spans="1:9" x14ac:dyDescent="0.45">
      <c r="A303" s="96">
        <v>10.4</v>
      </c>
      <c r="B303" s="96">
        <v>88.2</v>
      </c>
      <c r="C303" s="96">
        <v>23.5</v>
      </c>
      <c r="D303" s="96">
        <v>3</v>
      </c>
      <c r="E303" s="16">
        <v>627</v>
      </c>
      <c r="F303" s="97"/>
      <c r="G303" s="97"/>
      <c r="H303" s="97"/>
      <c r="I303" s="97"/>
    </row>
    <row r="304" spans="1:9" x14ac:dyDescent="0.45">
      <c r="A304" s="96">
        <v>13.1</v>
      </c>
      <c r="B304" s="96">
        <v>62.4</v>
      </c>
      <c r="C304" s="96">
        <v>11.8</v>
      </c>
      <c r="D304" s="96">
        <v>1</v>
      </c>
      <c r="E304" s="16">
        <v>3331</v>
      </c>
      <c r="F304" s="97"/>
      <c r="G304" s="97"/>
      <c r="H304" s="97"/>
      <c r="I304" s="97"/>
    </row>
    <row r="305" spans="1:9" x14ac:dyDescent="0.45">
      <c r="A305" s="96">
        <v>13.9</v>
      </c>
      <c r="B305" s="96">
        <v>70.3</v>
      </c>
      <c r="C305" s="96">
        <v>7.1</v>
      </c>
      <c r="D305" s="96">
        <v>1</v>
      </c>
      <c r="E305" s="16">
        <v>3669</v>
      </c>
      <c r="F305" s="97"/>
      <c r="G305" s="97"/>
      <c r="H305" s="97"/>
      <c r="I305" s="97"/>
    </row>
    <row r="306" spans="1:9" x14ac:dyDescent="0.45">
      <c r="A306" s="96">
        <v>16.399999999999999</v>
      </c>
      <c r="B306" s="96">
        <v>68.400000000000006</v>
      </c>
      <c r="C306" s="96">
        <v>9.1</v>
      </c>
      <c r="D306" s="96">
        <v>1</v>
      </c>
      <c r="E306" s="16">
        <v>4068</v>
      </c>
      <c r="F306" s="97"/>
      <c r="G306" s="97"/>
      <c r="H306" s="97"/>
      <c r="I306" s="97"/>
    </row>
    <row r="307" spans="1:9" x14ac:dyDescent="0.45">
      <c r="A307" s="96">
        <v>15.5</v>
      </c>
      <c r="B307" s="96">
        <v>71.900000000000006</v>
      </c>
      <c r="C307" s="96">
        <v>5.5</v>
      </c>
      <c r="D307" s="96">
        <v>1</v>
      </c>
      <c r="E307" s="16">
        <v>4186</v>
      </c>
      <c r="F307" s="97"/>
      <c r="G307" s="97"/>
      <c r="H307" s="97"/>
      <c r="I307" s="97"/>
    </row>
    <row r="308" spans="1:9" x14ac:dyDescent="0.45">
      <c r="A308" s="96">
        <v>16.7</v>
      </c>
      <c r="B308" s="96">
        <v>70.2</v>
      </c>
      <c r="C308" s="96">
        <v>9.1999999999999993</v>
      </c>
      <c r="D308" s="96">
        <v>1</v>
      </c>
      <c r="E308" s="16">
        <v>3974</v>
      </c>
      <c r="F308" s="97"/>
      <c r="G308" s="97"/>
      <c r="H308" s="97"/>
      <c r="I308" s="97"/>
    </row>
    <row r="309" spans="1:9" x14ac:dyDescent="0.45">
      <c r="A309" s="96">
        <v>16.5</v>
      </c>
      <c r="B309" s="96">
        <v>62.3</v>
      </c>
      <c r="C309" s="96">
        <v>18.2</v>
      </c>
      <c r="D309" s="96">
        <v>2</v>
      </c>
      <c r="E309" s="16">
        <v>4046</v>
      </c>
      <c r="F309" s="97"/>
      <c r="G309" s="97"/>
      <c r="H309" s="97"/>
      <c r="I309" s="97"/>
    </row>
    <row r="310" spans="1:9" x14ac:dyDescent="0.45">
      <c r="A310" s="96">
        <v>13.4</v>
      </c>
      <c r="B310" s="96">
        <v>51.9</v>
      </c>
      <c r="C310" s="96">
        <v>12.7</v>
      </c>
      <c r="D310" s="96">
        <v>1</v>
      </c>
      <c r="E310" s="16">
        <v>3926</v>
      </c>
      <c r="F310" s="97"/>
      <c r="G310" s="97"/>
      <c r="H310" s="97"/>
      <c r="I310" s="97"/>
    </row>
    <row r="311" spans="1:9" x14ac:dyDescent="0.45">
      <c r="A311" s="96">
        <v>14.3</v>
      </c>
      <c r="B311" s="96">
        <v>73.5</v>
      </c>
      <c r="C311" s="96">
        <v>6.2</v>
      </c>
      <c r="D311" s="96">
        <v>1</v>
      </c>
      <c r="E311" s="16">
        <v>3649</v>
      </c>
      <c r="F311" s="97"/>
      <c r="G311" s="97"/>
      <c r="H311" s="97"/>
      <c r="I311" s="97"/>
    </row>
    <row r="312" spans="1:9" x14ac:dyDescent="0.45">
      <c r="A312" s="96">
        <v>16.2</v>
      </c>
      <c r="B312" s="96">
        <v>75.900000000000006</v>
      </c>
      <c r="C312" s="96">
        <v>3.8</v>
      </c>
      <c r="D312" s="96">
        <v>1</v>
      </c>
      <c r="E312" s="16">
        <v>4035</v>
      </c>
      <c r="F312" s="97"/>
      <c r="G312" s="97"/>
      <c r="H312" s="97"/>
      <c r="I312" s="97"/>
    </row>
    <row r="313" spans="1:9" x14ac:dyDescent="0.45">
      <c r="A313" s="96">
        <v>16.7</v>
      </c>
      <c r="B313" s="96">
        <v>72.2</v>
      </c>
      <c r="C313" s="96">
        <v>4.5999999999999996</v>
      </c>
      <c r="D313" s="96">
        <v>1</v>
      </c>
      <c r="E313" s="16">
        <v>4205</v>
      </c>
      <c r="F313" s="97"/>
      <c r="G313" s="97"/>
      <c r="H313" s="97"/>
      <c r="I313" s="97"/>
    </row>
    <row r="314" spans="1:9" x14ac:dyDescent="0.45">
      <c r="A314" s="96">
        <v>16.399999999999999</v>
      </c>
      <c r="B314" s="96">
        <v>75.8</v>
      </c>
      <c r="C314" s="96">
        <v>4.2</v>
      </c>
      <c r="D314" s="96">
        <v>1</v>
      </c>
      <c r="E314" s="16">
        <v>4109</v>
      </c>
      <c r="F314" s="97"/>
      <c r="G314" s="97"/>
      <c r="H314" s="97"/>
      <c r="I314" s="97"/>
    </row>
    <row r="315" spans="1:9" x14ac:dyDescent="0.45">
      <c r="A315" s="96">
        <v>15.6</v>
      </c>
      <c r="B315" s="96">
        <v>81.3</v>
      </c>
      <c r="C315" s="96">
        <v>12.7</v>
      </c>
      <c r="D315" s="96">
        <v>2</v>
      </c>
      <c r="E315" s="16">
        <v>2933</v>
      </c>
      <c r="F315" s="97"/>
      <c r="G315" s="97"/>
      <c r="H315" s="97"/>
      <c r="I315" s="97"/>
    </row>
    <row r="316" spans="1:9" x14ac:dyDescent="0.45">
      <c r="A316" s="96">
        <v>13.3</v>
      </c>
      <c r="B316" s="96">
        <v>44.6</v>
      </c>
      <c r="C316" s="96">
        <v>21.1</v>
      </c>
      <c r="D316" s="96">
        <v>1</v>
      </c>
      <c r="E316" s="16">
        <v>3368</v>
      </c>
      <c r="F316" s="97"/>
      <c r="G316" s="97"/>
      <c r="H316" s="97"/>
      <c r="I316" s="97"/>
    </row>
    <row r="317" spans="1:9" x14ac:dyDescent="0.45">
      <c r="A317" s="96">
        <v>14.6</v>
      </c>
      <c r="B317" s="96">
        <v>55.3</v>
      </c>
      <c r="C317" s="96">
        <v>14.2</v>
      </c>
      <c r="D317" s="96">
        <v>1</v>
      </c>
      <c r="E317" s="16">
        <v>4067</v>
      </c>
      <c r="F317" s="97"/>
      <c r="G317" s="97"/>
      <c r="H317" s="97"/>
      <c r="I317" s="97"/>
    </row>
    <row r="318" spans="1:9" x14ac:dyDescent="0.45">
      <c r="A318" s="96">
        <v>18.100000000000001</v>
      </c>
      <c r="B318" s="96">
        <v>45.8</v>
      </c>
      <c r="C318" s="96">
        <v>18.899999999999999</v>
      </c>
      <c r="D318" s="96">
        <v>1</v>
      </c>
      <c r="E318" s="16">
        <v>3717</v>
      </c>
      <c r="F318" s="97"/>
      <c r="G318" s="97"/>
      <c r="H318" s="97"/>
      <c r="I318" s="97"/>
    </row>
    <row r="319" spans="1:9" x14ac:dyDescent="0.45">
      <c r="A319" s="96">
        <v>21.7</v>
      </c>
      <c r="B319" s="96">
        <v>58.7</v>
      </c>
      <c r="C319" s="96">
        <v>20.5</v>
      </c>
      <c r="D319" s="96">
        <v>1</v>
      </c>
      <c r="E319" s="16">
        <v>4486</v>
      </c>
      <c r="F319" s="97"/>
      <c r="G319" s="97"/>
      <c r="H319" s="97"/>
      <c r="I319" s="97"/>
    </row>
    <row r="320" spans="1:9" x14ac:dyDescent="0.45">
      <c r="A320" s="96">
        <v>21.7</v>
      </c>
      <c r="B320" s="96">
        <v>68.900000000000006</v>
      </c>
      <c r="C320" s="96">
        <v>13.4</v>
      </c>
      <c r="D320" s="96">
        <v>2</v>
      </c>
      <c r="E320" s="16">
        <v>4195</v>
      </c>
      <c r="F320" s="97"/>
      <c r="G320" s="97"/>
      <c r="H320" s="97"/>
      <c r="I320" s="97"/>
    </row>
    <row r="321" spans="1:9" x14ac:dyDescent="0.45">
      <c r="A321" s="96">
        <v>18.7</v>
      </c>
      <c r="B321" s="96">
        <v>93</v>
      </c>
      <c r="C321" s="96">
        <v>9.1999999999999993</v>
      </c>
      <c r="D321" s="96">
        <v>3</v>
      </c>
      <c r="E321" s="16">
        <v>1817</v>
      </c>
      <c r="F321" s="97"/>
      <c r="G321" s="97"/>
      <c r="H321" s="97"/>
      <c r="I321" s="97"/>
    </row>
    <row r="322" spans="1:9" x14ac:dyDescent="0.45">
      <c r="A322" s="96">
        <v>14</v>
      </c>
      <c r="B322" s="96">
        <v>57.6</v>
      </c>
      <c r="C322" s="96">
        <v>20.5</v>
      </c>
      <c r="D322" s="96">
        <v>2</v>
      </c>
      <c r="E322" s="16">
        <v>3053</v>
      </c>
      <c r="F322" s="97"/>
      <c r="G322" s="97"/>
      <c r="H322" s="97"/>
      <c r="I322" s="97"/>
    </row>
    <row r="323" spans="1:9" x14ac:dyDescent="0.45">
      <c r="A323" s="96">
        <v>11.2</v>
      </c>
      <c r="B323" s="96">
        <v>41</v>
      </c>
      <c r="C323" s="96">
        <v>11.3</v>
      </c>
      <c r="D323" s="96">
        <v>1</v>
      </c>
      <c r="E323" s="16">
        <v>3392</v>
      </c>
      <c r="F323" s="97"/>
      <c r="G323" s="97"/>
      <c r="H323" s="97"/>
      <c r="I323" s="97"/>
    </row>
    <row r="324" spans="1:9" x14ac:dyDescent="0.45">
      <c r="A324" s="96">
        <v>13.5</v>
      </c>
      <c r="B324" s="96">
        <v>50.2</v>
      </c>
      <c r="C324" s="96">
        <v>15</v>
      </c>
      <c r="D324" s="96">
        <v>1</v>
      </c>
      <c r="E324" s="16">
        <v>3663</v>
      </c>
      <c r="F324" s="97"/>
      <c r="G324" s="97"/>
      <c r="H324" s="97"/>
      <c r="I324" s="97"/>
    </row>
    <row r="325" spans="1:9" x14ac:dyDescent="0.45">
      <c r="A325" s="96">
        <v>19</v>
      </c>
      <c r="B325" s="96">
        <v>68.5</v>
      </c>
      <c r="C325" s="96">
        <v>12.5</v>
      </c>
      <c r="D325" s="96">
        <v>2</v>
      </c>
      <c r="E325" s="16">
        <v>3520</v>
      </c>
      <c r="F325" s="97"/>
      <c r="G325" s="97"/>
      <c r="H325" s="97"/>
      <c r="I325" s="97"/>
    </row>
    <row r="326" spans="1:9" x14ac:dyDescent="0.45">
      <c r="A326" s="96">
        <v>18.3</v>
      </c>
      <c r="B326" s="96">
        <v>91</v>
      </c>
      <c r="C326" s="96">
        <v>9.1999999999999993</v>
      </c>
      <c r="D326" s="96">
        <v>3</v>
      </c>
      <c r="E326" s="16">
        <v>2765</v>
      </c>
      <c r="F326" s="97"/>
      <c r="G326" s="97"/>
      <c r="H326" s="97"/>
      <c r="I326" s="97"/>
    </row>
    <row r="327" spans="1:9" x14ac:dyDescent="0.45">
      <c r="A327" s="96">
        <v>17.100000000000001</v>
      </c>
      <c r="B327" s="96">
        <v>96.2</v>
      </c>
      <c r="C327" s="96">
        <v>8</v>
      </c>
      <c r="D327" s="96">
        <v>3</v>
      </c>
      <c r="E327" s="16">
        <v>1607</v>
      </c>
      <c r="F327" s="97"/>
      <c r="G327" s="97"/>
      <c r="H327" s="97"/>
      <c r="I327" s="97"/>
    </row>
    <row r="328" spans="1:9" x14ac:dyDescent="0.45">
      <c r="A328" s="96">
        <v>18.100000000000001</v>
      </c>
      <c r="B328" s="96">
        <v>75.8</v>
      </c>
      <c r="C328" s="96">
        <v>22.5</v>
      </c>
      <c r="D328" s="96">
        <v>2</v>
      </c>
      <c r="E328" s="16">
        <v>2566</v>
      </c>
      <c r="F328" s="97"/>
      <c r="G328" s="97"/>
      <c r="H328" s="97"/>
      <c r="I328" s="97"/>
    </row>
    <row r="329" spans="1:9" x14ac:dyDescent="0.45">
      <c r="A329" s="96">
        <v>15.3</v>
      </c>
      <c r="B329" s="96">
        <v>54.9</v>
      </c>
      <c r="C329" s="96">
        <v>11.2</v>
      </c>
      <c r="D329" s="96">
        <v>1</v>
      </c>
      <c r="E329" s="16">
        <v>1495</v>
      </c>
      <c r="F329" s="97"/>
      <c r="G329" s="97"/>
      <c r="H329" s="97"/>
      <c r="I329" s="97"/>
    </row>
    <row r="330" spans="1:9" x14ac:dyDescent="0.45">
      <c r="A330" s="96">
        <v>15.4</v>
      </c>
      <c r="B330" s="96">
        <v>64.400000000000006</v>
      </c>
      <c r="C330" s="96">
        <v>6.6</v>
      </c>
      <c r="D330" s="96">
        <v>1</v>
      </c>
      <c r="E330" s="16">
        <v>2792</v>
      </c>
      <c r="F330" s="97"/>
      <c r="G330" s="97"/>
      <c r="H330" s="97"/>
      <c r="I330" s="97"/>
    </row>
    <row r="331" spans="1:9" x14ac:dyDescent="0.45">
      <c r="A331" s="96">
        <v>15.4</v>
      </c>
      <c r="B331" s="96">
        <v>68.2</v>
      </c>
      <c r="C331" s="96">
        <v>4.5999999999999996</v>
      </c>
      <c r="D331" s="96">
        <v>1</v>
      </c>
      <c r="E331" s="16">
        <v>3068</v>
      </c>
      <c r="F331" s="97"/>
      <c r="G331" s="97"/>
      <c r="H331" s="97"/>
      <c r="I331" s="97"/>
    </row>
    <row r="332" spans="1:9" x14ac:dyDescent="0.45">
      <c r="A332" s="96">
        <v>18.8</v>
      </c>
      <c r="B332" s="96">
        <v>69.8</v>
      </c>
      <c r="C332" s="96">
        <v>14</v>
      </c>
      <c r="D332" s="96">
        <v>1</v>
      </c>
      <c r="E332" s="16">
        <v>3071</v>
      </c>
      <c r="F332" s="97"/>
      <c r="G332" s="97"/>
      <c r="H332" s="97"/>
      <c r="I332" s="97"/>
    </row>
    <row r="333" spans="1:9" x14ac:dyDescent="0.45">
      <c r="A333" s="96">
        <v>20.6</v>
      </c>
      <c r="B333" s="96">
        <v>74.3</v>
      </c>
      <c r="C333" s="96">
        <v>9.5</v>
      </c>
      <c r="D333" s="96">
        <v>1</v>
      </c>
      <c r="E333" s="16">
        <v>3867</v>
      </c>
      <c r="F333" s="97"/>
      <c r="G333" s="97"/>
      <c r="H333" s="97"/>
      <c r="I333" s="97"/>
    </row>
    <row r="334" spans="1:9" x14ac:dyDescent="0.45">
      <c r="A334" s="96">
        <v>18.8</v>
      </c>
      <c r="B334" s="96">
        <v>83.1</v>
      </c>
      <c r="C334" s="96">
        <v>17.3</v>
      </c>
      <c r="D334" s="96">
        <v>2</v>
      </c>
      <c r="E334" s="16">
        <v>2914</v>
      </c>
      <c r="F334" s="97"/>
      <c r="G334" s="97"/>
      <c r="H334" s="97"/>
      <c r="I334" s="97"/>
    </row>
    <row r="335" spans="1:9" x14ac:dyDescent="0.45">
      <c r="A335" s="96">
        <v>13.3</v>
      </c>
      <c r="B335" s="96">
        <v>61.3</v>
      </c>
      <c r="C335" s="96">
        <v>18.2</v>
      </c>
      <c r="D335" s="96">
        <v>1</v>
      </c>
      <c r="E335" s="16">
        <v>3613</v>
      </c>
      <c r="F335" s="97"/>
      <c r="G335" s="97"/>
      <c r="H335" s="97"/>
      <c r="I335" s="97"/>
    </row>
    <row r="336" spans="1:9" x14ac:dyDescent="0.45">
      <c r="A336" s="96">
        <v>12.8</v>
      </c>
      <c r="B336" s="96">
        <v>52.5</v>
      </c>
      <c r="C336" s="96">
        <v>14.8</v>
      </c>
      <c r="D336" s="96">
        <v>1</v>
      </c>
      <c r="E336" s="16">
        <v>3727</v>
      </c>
      <c r="F336" s="97"/>
      <c r="G336" s="97"/>
      <c r="H336" s="97"/>
      <c r="I336" s="97"/>
    </row>
    <row r="337" spans="1:9" x14ac:dyDescent="0.45">
      <c r="A337" s="96">
        <v>12.9</v>
      </c>
      <c r="B337" s="96">
        <v>62.6</v>
      </c>
      <c r="C337" s="96">
        <v>6.8</v>
      </c>
      <c r="D337" s="96">
        <v>1</v>
      </c>
      <c r="E337" s="16">
        <v>3940</v>
      </c>
      <c r="F337" s="97"/>
      <c r="G337" s="97"/>
      <c r="H337" s="97"/>
      <c r="I337" s="97"/>
    </row>
    <row r="338" spans="1:9" x14ac:dyDescent="0.45">
      <c r="A338" s="96">
        <v>12.3</v>
      </c>
      <c r="B338" s="96">
        <v>61.3</v>
      </c>
      <c r="C338" s="96">
        <v>6.4</v>
      </c>
      <c r="D338" s="96">
        <v>1</v>
      </c>
      <c r="E338" s="16">
        <v>3614</v>
      </c>
      <c r="F338" s="97"/>
      <c r="G338" s="97"/>
      <c r="H338" s="97"/>
      <c r="I338" s="97"/>
    </row>
    <row r="339" spans="1:9" x14ac:dyDescent="0.45">
      <c r="A339" s="96">
        <v>13.6</v>
      </c>
      <c r="B339" s="96">
        <v>77.599999999999994</v>
      </c>
      <c r="C339" s="96">
        <v>5.6</v>
      </c>
      <c r="D339" s="96">
        <v>1</v>
      </c>
      <c r="E339" s="16">
        <v>3485</v>
      </c>
      <c r="F339" s="97"/>
      <c r="G339" s="97"/>
      <c r="H339" s="97"/>
      <c r="I339" s="97"/>
    </row>
    <row r="340" spans="1:9" x14ac:dyDescent="0.45">
      <c r="A340" s="96">
        <v>15.8</v>
      </c>
      <c r="B340" s="96">
        <v>82.7</v>
      </c>
      <c r="C340" s="96">
        <v>4.2</v>
      </c>
      <c r="D340" s="96">
        <v>2</v>
      </c>
      <c r="E340" s="16">
        <v>3811</v>
      </c>
      <c r="F340" s="97"/>
      <c r="G340" s="97"/>
      <c r="H340" s="97"/>
      <c r="I340" s="97"/>
    </row>
    <row r="341" spans="1:9" x14ac:dyDescent="0.45">
      <c r="A341" s="96">
        <v>19</v>
      </c>
      <c r="B341" s="96">
        <v>95</v>
      </c>
      <c r="C341" s="96">
        <v>15.6</v>
      </c>
      <c r="D341" s="96">
        <v>3</v>
      </c>
      <c r="E341" s="16">
        <v>2594</v>
      </c>
      <c r="F341" s="97"/>
      <c r="G341" s="97"/>
      <c r="H341" s="97"/>
      <c r="I341" s="97"/>
    </row>
    <row r="342" spans="1:9" x14ac:dyDescent="0.45">
      <c r="A342" s="96">
        <v>16.8</v>
      </c>
      <c r="B342" s="96">
        <v>97</v>
      </c>
      <c r="C342" s="96">
        <v>17.8</v>
      </c>
      <c r="D342" s="96">
        <v>3</v>
      </c>
      <c r="E342" s="16">
        <v>705</v>
      </c>
      <c r="F342" s="97"/>
      <c r="G342" s="97"/>
      <c r="H342" s="97"/>
      <c r="I342" s="97"/>
    </row>
    <row r="343" spans="1:9" x14ac:dyDescent="0.45">
      <c r="A343" s="96">
        <v>10.9</v>
      </c>
      <c r="B343" s="96">
        <v>58</v>
      </c>
      <c r="C343" s="96">
        <v>16.100000000000001</v>
      </c>
      <c r="D343" s="96">
        <v>1</v>
      </c>
      <c r="E343" s="16">
        <v>3322</v>
      </c>
      <c r="F343" s="97"/>
      <c r="G343" s="97"/>
      <c r="H343" s="97"/>
      <c r="I343" s="97"/>
    </row>
    <row r="344" spans="1:9" x14ac:dyDescent="0.45">
      <c r="A344" s="96">
        <v>11.9</v>
      </c>
      <c r="B344" s="96">
        <v>69.599999999999994</v>
      </c>
      <c r="C344" s="96">
        <v>5.5</v>
      </c>
      <c r="D344" s="96">
        <v>1</v>
      </c>
      <c r="E344" s="16">
        <v>3620</v>
      </c>
      <c r="F344" s="97"/>
      <c r="G344" s="97"/>
      <c r="H344" s="97"/>
      <c r="I344" s="97"/>
    </row>
    <row r="345" spans="1:9" x14ac:dyDescent="0.45">
      <c r="A345" s="96">
        <v>11.3</v>
      </c>
      <c r="B345" s="96">
        <v>50.7</v>
      </c>
      <c r="C345" s="96">
        <v>15.6</v>
      </c>
      <c r="D345" s="96">
        <v>1</v>
      </c>
      <c r="E345" s="16">
        <v>3190</v>
      </c>
      <c r="F345" s="97"/>
      <c r="G345" s="97"/>
      <c r="H345" s="97"/>
      <c r="I345" s="97"/>
    </row>
    <row r="346" spans="1:9" x14ac:dyDescent="0.45">
      <c r="A346" s="96">
        <v>9.1</v>
      </c>
      <c r="B346" s="96">
        <v>49</v>
      </c>
      <c r="C346" s="96">
        <v>4.5</v>
      </c>
      <c r="D346" s="96">
        <v>1</v>
      </c>
      <c r="E346" s="16">
        <v>2743</v>
      </c>
      <c r="F346" s="97"/>
      <c r="G346" s="97"/>
      <c r="H346" s="97"/>
      <c r="I346" s="97"/>
    </row>
    <row r="347" spans="1:9" x14ac:dyDescent="0.45">
      <c r="A347" s="96">
        <v>9.8000000000000007</v>
      </c>
      <c r="B347" s="96">
        <v>67.099999999999994</v>
      </c>
      <c r="C347" s="96">
        <v>4.3</v>
      </c>
      <c r="D347" s="96">
        <v>1</v>
      </c>
      <c r="E347" s="16">
        <v>3310</v>
      </c>
      <c r="F347" s="97"/>
      <c r="G347" s="97"/>
      <c r="H347" s="97"/>
      <c r="I347" s="97"/>
    </row>
    <row r="348" spans="1:9" x14ac:dyDescent="0.45">
      <c r="A348" s="96">
        <v>11.6</v>
      </c>
      <c r="B348" s="96">
        <v>59</v>
      </c>
      <c r="C348" s="96">
        <v>9.4</v>
      </c>
      <c r="D348" s="96">
        <v>1</v>
      </c>
      <c r="E348" s="16">
        <v>3523</v>
      </c>
      <c r="F348" s="97"/>
      <c r="G348" s="97"/>
      <c r="H348" s="97"/>
      <c r="I348" s="97"/>
    </row>
    <row r="349" spans="1:9" x14ac:dyDescent="0.45">
      <c r="A349" s="96">
        <v>13</v>
      </c>
      <c r="B349" s="96">
        <v>66.400000000000006</v>
      </c>
      <c r="C349" s="96">
        <v>4.0999999999999996</v>
      </c>
      <c r="D349" s="96">
        <v>2</v>
      </c>
      <c r="E349" s="16">
        <v>3740</v>
      </c>
      <c r="F349" s="97"/>
      <c r="G349" s="97"/>
      <c r="H349" s="97"/>
      <c r="I349" s="97"/>
    </row>
    <row r="350" spans="1:9" x14ac:dyDescent="0.45">
      <c r="A350" s="96">
        <v>17.3</v>
      </c>
      <c r="B350" s="96">
        <v>63.4</v>
      </c>
      <c r="C350" s="96">
        <v>18</v>
      </c>
      <c r="D350" s="96">
        <v>2</v>
      </c>
      <c r="E350" s="16">
        <v>3709</v>
      </c>
      <c r="F350" s="97"/>
      <c r="G350" s="97"/>
      <c r="H350" s="97"/>
      <c r="I350" s="97"/>
    </row>
    <row r="351" spans="1:9" x14ac:dyDescent="0.45">
      <c r="A351" s="96">
        <v>15.4</v>
      </c>
      <c r="B351" s="96">
        <v>50</v>
      </c>
      <c r="C351" s="96">
        <v>17.5</v>
      </c>
      <c r="D351" s="96">
        <v>2</v>
      </c>
      <c r="E351" s="16">
        <v>3577</v>
      </c>
      <c r="F351" s="97"/>
      <c r="G351" s="97"/>
      <c r="H351" s="97"/>
      <c r="I351" s="97"/>
    </row>
    <row r="352" spans="1:9" x14ac:dyDescent="0.45">
      <c r="A352" s="96">
        <v>10.6</v>
      </c>
      <c r="B352" s="96">
        <v>56.1</v>
      </c>
      <c r="C352" s="96">
        <v>16.3</v>
      </c>
      <c r="D352" s="96">
        <v>2</v>
      </c>
      <c r="E352" s="16">
        <v>2739</v>
      </c>
      <c r="F352" s="97"/>
      <c r="G352" s="97"/>
      <c r="H352" s="97"/>
      <c r="I352" s="97"/>
    </row>
    <row r="353" spans="1:9" x14ac:dyDescent="0.45">
      <c r="A353" s="96">
        <v>9.8000000000000007</v>
      </c>
      <c r="B353" s="96">
        <v>58.6</v>
      </c>
      <c r="C353" s="96">
        <v>11.4</v>
      </c>
      <c r="D353" s="96">
        <v>1</v>
      </c>
      <c r="E353" s="16">
        <v>2431</v>
      </c>
      <c r="F353" s="97"/>
      <c r="G353" s="97"/>
      <c r="H353" s="97"/>
      <c r="I353" s="97"/>
    </row>
    <row r="354" spans="1:9" x14ac:dyDescent="0.45">
      <c r="A354" s="96">
        <v>11.3</v>
      </c>
      <c r="B354" s="96">
        <v>63.7</v>
      </c>
      <c r="C354" s="96">
        <v>11.6</v>
      </c>
      <c r="D354" s="96">
        <v>1</v>
      </c>
      <c r="E354" s="16">
        <v>3403</v>
      </c>
      <c r="F354" s="97"/>
      <c r="G354" s="97"/>
      <c r="H354" s="97"/>
      <c r="I354" s="97"/>
    </row>
    <row r="355" spans="1:9" x14ac:dyDescent="0.45">
      <c r="A355" s="96">
        <v>15.8</v>
      </c>
      <c r="B355" s="96">
        <v>59.5</v>
      </c>
      <c r="C355" s="96">
        <v>4.0999999999999996</v>
      </c>
      <c r="D355" s="96">
        <v>2</v>
      </c>
      <c r="E355" s="16">
        <v>3750</v>
      </c>
      <c r="F355" s="97"/>
      <c r="G355" s="97"/>
      <c r="H355" s="97"/>
      <c r="I355" s="97"/>
    </row>
    <row r="356" spans="1:9" x14ac:dyDescent="0.45">
      <c r="A356" s="96">
        <v>17.600000000000001</v>
      </c>
      <c r="B356" s="96">
        <v>85.8</v>
      </c>
      <c r="C356" s="96">
        <v>14.8</v>
      </c>
      <c r="D356" s="96">
        <v>2</v>
      </c>
      <c r="E356" s="16">
        <v>2660</v>
      </c>
      <c r="F356" s="97"/>
      <c r="G356" s="97"/>
      <c r="H356" s="97"/>
      <c r="I356" s="97"/>
    </row>
    <row r="357" spans="1:9" x14ac:dyDescent="0.45">
      <c r="A357" s="96">
        <v>17.399999999999999</v>
      </c>
      <c r="B357" s="96">
        <v>75.8</v>
      </c>
      <c r="C357" s="96">
        <v>3.2</v>
      </c>
      <c r="D357" s="96">
        <v>2</v>
      </c>
      <c r="E357" s="16">
        <v>3068</v>
      </c>
      <c r="F357" s="97"/>
      <c r="G357" s="97"/>
      <c r="H357" s="97"/>
      <c r="I357" s="97"/>
    </row>
    <row r="358" spans="1:9" x14ac:dyDescent="0.45">
      <c r="A358" s="96">
        <v>15.3</v>
      </c>
      <c r="B358" s="96">
        <v>68.599999999999994</v>
      </c>
      <c r="C358" s="96">
        <v>18.399999999999999</v>
      </c>
      <c r="D358" s="96">
        <v>1</v>
      </c>
      <c r="E358" s="16">
        <v>2209</v>
      </c>
      <c r="F358" s="97"/>
      <c r="G358" s="97"/>
      <c r="H358" s="97"/>
      <c r="I358" s="97"/>
    </row>
    <row r="359" spans="1:9" x14ac:dyDescent="0.45">
      <c r="A359" s="96">
        <v>12.4</v>
      </c>
      <c r="B359" s="96">
        <v>54.2</v>
      </c>
      <c r="C359" s="96">
        <v>12.8</v>
      </c>
      <c r="D359" s="96">
        <v>1</v>
      </c>
      <c r="E359" s="16">
        <v>1011</v>
      </c>
      <c r="F359" s="97"/>
      <c r="G359" s="97"/>
      <c r="H359" s="97"/>
      <c r="I359" s="97"/>
    </row>
    <row r="360" spans="1:9" x14ac:dyDescent="0.45">
      <c r="A360" s="96">
        <v>11.3</v>
      </c>
      <c r="B360" s="96">
        <v>68.099999999999994</v>
      </c>
      <c r="C360" s="96">
        <v>10.4</v>
      </c>
      <c r="D360" s="96">
        <v>1</v>
      </c>
      <c r="E360" s="16">
        <v>754</v>
      </c>
      <c r="F360" s="97"/>
      <c r="G360" s="97"/>
      <c r="H360" s="97"/>
      <c r="I360" s="97"/>
    </row>
    <row r="361" spans="1:9" x14ac:dyDescent="0.45">
      <c r="A361" s="96">
        <v>13.2</v>
      </c>
      <c r="B361" s="96">
        <v>50.7</v>
      </c>
      <c r="C361" s="96">
        <v>16</v>
      </c>
      <c r="D361" s="96">
        <v>1</v>
      </c>
      <c r="E361" s="16">
        <v>1317</v>
      </c>
      <c r="F361" s="97"/>
      <c r="G361" s="97"/>
      <c r="H361" s="97"/>
      <c r="I361" s="97"/>
    </row>
    <row r="362" spans="1:9" x14ac:dyDescent="0.45">
      <c r="A362" s="96">
        <v>13.3</v>
      </c>
      <c r="B362" s="96">
        <v>76.2</v>
      </c>
      <c r="C362" s="96">
        <v>12.6</v>
      </c>
      <c r="D362" s="96">
        <v>2</v>
      </c>
      <c r="E362" s="16">
        <v>1162</v>
      </c>
      <c r="F362" s="97"/>
      <c r="G362" s="97"/>
      <c r="H362" s="97"/>
      <c r="I362" s="97"/>
    </row>
    <row r="363" spans="1:9" x14ac:dyDescent="0.45">
      <c r="A363" s="96">
        <v>12.3</v>
      </c>
      <c r="B363" s="96">
        <v>50.4</v>
      </c>
      <c r="C363" s="96">
        <v>19.7</v>
      </c>
      <c r="D363" s="96">
        <v>1</v>
      </c>
      <c r="E363" s="16">
        <v>2302</v>
      </c>
      <c r="F363" s="97"/>
      <c r="G363" s="97"/>
      <c r="H363" s="97"/>
      <c r="I363" s="97"/>
    </row>
    <row r="364" spans="1:9" x14ac:dyDescent="0.45">
      <c r="A364" s="96">
        <v>10.199999999999999</v>
      </c>
      <c r="B364" s="96">
        <v>57.4</v>
      </c>
      <c r="C364" s="96">
        <v>8</v>
      </c>
      <c r="D364" s="96">
        <v>1</v>
      </c>
      <c r="E364" s="16">
        <v>2423</v>
      </c>
      <c r="F364" s="97"/>
      <c r="G364" s="97"/>
      <c r="H364" s="97"/>
      <c r="I364" s="97"/>
    </row>
    <row r="365" spans="1:9" x14ac:dyDescent="0.45">
      <c r="A365" s="96">
        <v>12.8</v>
      </c>
      <c r="B365" s="96">
        <v>63.7</v>
      </c>
      <c r="C365" s="96">
        <v>9</v>
      </c>
      <c r="D365" s="96">
        <v>1</v>
      </c>
      <c r="E365" s="16">
        <v>2999</v>
      </c>
      <c r="F365" s="97"/>
      <c r="G365" s="97"/>
      <c r="H365" s="97"/>
      <c r="I365" s="97"/>
    </row>
    <row r="366" spans="1:9" x14ac:dyDescent="0.45">
      <c r="A366" s="96">
        <v>16.8</v>
      </c>
      <c r="B366" s="96">
        <v>61.6</v>
      </c>
      <c r="C366" s="96">
        <v>14.8</v>
      </c>
      <c r="D366" s="96">
        <v>1</v>
      </c>
      <c r="E366" s="16">
        <v>2485</v>
      </c>
      <c r="F366" s="97"/>
      <c r="G366" s="97"/>
      <c r="H366" s="97"/>
      <c r="I366" s="97"/>
    </row>
  </sheetData>
  <pageMargins left="0.75" right="0.75" top="1" bottom="1" header="0.5" footer="0.5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25B43-B382-4F7B-9405-45F5F58B6335}">
  <dimension ref="A1:G8"/>
  <sheetViews>
    <sheetView zoomScale="145" zoomScaleNormal="145" workbookViewId="0"/>
  </sheetViews>
  <sheetFormatPr defaultRowHeight="14.25" x14ac:dyDescent="0.45"/>
  <cols>
    <col min="1" max="3" width="9.06640625" style="105"/>
    <col min="4" max="4" width="11.33203125" style="105" bestFit="1" customWidth="1"/>
    <col min="5" max="6" width="28.33203125" style="105" customWidth="1"/>
    <col min="7" max="7" width="9.796875" style="105" bestFit="1" customWidth="1"/>
    <col min="8" max="16384" width="9.06640625" style="105"/>
  </cols>
  <sheetData>
    <row r="1" spans="1:7" x14ac:dyDescent="0.45">
      <c r="A1" s="105" t="s">
        <v>287</v>
      </c>
      <c r="B1" s="105" t="s">
        <v>286</v>
      </c>
      <c r="D1" s="106" t="s">
        <v>285</v>
      </c>
      <c r="E1" s="106" t="s">
        <v>284</v>
      </c>
      <c r="F1" s="106" t="s">
        <v>283</v>
      </c>
      <c r="G1" s="106" t="s">
        <v>282</v>
      </c>
    </row>
    <row r="2" spans="1:7" x14ac:dyDescent="0.45">
      <c r="A2" s="105">
        <v>1</v>
      </c>
      <c r="B2" s="105">
        <v>52</v>
      </c>
      <c r="D2" s="105" t="s">
        <v>281</v>
      </c>
      <c r="E2" s="105" t="s">
        <v>280</v>
      </c>
      <c r="F2" s="105" t="s">
        <v>279</v>
      </c>
    </row>
    <row r="3" spans="1:7" x14ac:dyDescent="0.45">
      <c r="A3" s="105">
        <v>2</v>
      </c>
      <c r="B3" s="105">
        <v>55</v>
      </c>
      <c r="D3" s="105" t="s">
        <v>278</v>
      </c>
      <c r="E3" s="105" t="s">
        <v>277</v>
      </c>
      <c r="F3" s="105" t="s">
        <v>276</v>
      </c>
    </row>
    <row r="4" spans="1:7" x14ac:dyDescent="0.45">
      <c r="A4" s="105">
        <v>3</v>
      </c>
      <c r="B4" s="105">
        <v>61</v>
      </c>
      <c r="D4" s="105" t="s">
        <v>275</v>
      </c>
    </row>
    <row r="5" spans="1:7" x14ac:dyDescent="0.45">
      <c r="A5" s="105">
        <v>4</v>
      </c>
      <c r="B5" s="105">
        <v>64</v>
      </c>
    </row>
    <row r="6" spans="1:7" x14ac:dyDescent="0.45">
      <c r="A6" s="105">
        <v>5</v>
      </c>
      <c r="B6" s="105">
        <v>68</v>
      </c>
      <c r="D6" s="105" t="s">
        <v>274</v>
      </c>
      <c r="E6" s="105" t="s">
        <v>273</v>
      </c>
      <c r="F6" s="105" t="s">
        <v>272</v>
      </c>
    </row>
    <row r="7" spans="1:7" x14ac:dyDescent="0.45">
      <c r="D7" s="105" t="s">
        <v>271</v>
      </c>
      <c r="F7" s="105" t="s">
        <v>270</v>
      </c>
    </row>
    <row r="8" spans="1:7" x14ac:dyDescent="0.45">
      <c r="D8" s="105" t="s">
        <v>269</v>
      </c>
      <c r="F8" s="105" t="s">
        <v>268</v>
      </c>
    </row>
  </sheetData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896F3-4F8D-45E6-A59A-79242DEB1A7D}">
  <dimension ref="A1:H7"/>
  <sheetViews>
    <sheetView zoomScale="130" zoomScaleNormal="130" workbookViewId="0">
      <pane ySplit="2" topLeftCell="A3" activePane="bottomLeft" state="frozen"/>
      <selection pane="bottomLeft"/>
    </sheetView>
  </sheetViews>
  <sheetFormatPr defaultRowHeight="14.25" x14ac:dyDescent="0.45"/>
  <cols>
    <col min="1" max="2" width="13.33203125" customWidth="1"/>
    <col min="3" max="4" width="14" customWidth="1"/>
    <col min="5" max="5" width="17.33203125" customWidth="1"/>
    <col min="7" max="7" width="10.06640625" bestFit="1" customWidth="1"/>
    <col min="8" max="8" width="13.1328125" bestFit="1" customWidth="1"/>
  </cols>
  <sheetData>
    <row r="1" spans="1:8" ht="14.65" thickBot="1" x14ac:dyDescent="0.5">
      <c r="A1" s="42" t="s">
        <v>200</v>
      </c>
      <c r="B1" s="52" cm="1">
        <f t="array" ref="B1">AVERAGE(
  (INTERCEPT(LinearRegressionProblem_Table[Sales], LinearRegressionProblem_Table[AdSpent])
  + SLOPE(LinearRegressionProblem_Table[Sales], LinearRegressionProblem_Table[AdSpent]) * LinearRegressionProblem_Table[AdSpent]
  - LinearRegressionProblem_Table[Sales])^2
)</f>
        <v>0</v>
      </c>
      <c r="D1" s="42" t="s">
        <v>201</v>
      </c>
      <c r="E1" s="52">
        <f>AVERAGE(LinearRegressionProblem_Table[SQUARED])</f>
        <v>1100</v>
      </c>
    </row>
    <row r="2" spans="1:8" ht="42.75" x14ac:dyDescent="0.45">
      <c r="A2" s="3" t="s">
        <v>198</v>
      </c>
      <c r="B2" s="3" t="s">
        <v>70</v>
      </c>
      <c r="C2" s="4" t="s">
        <v>184</v>
      </c>
      <c r="D2" s="4" t="s">
        <v>185</v>
      </c>
      <c r="E2" s="4" t="s">
        <v>186</v>
      </c>
      <c r="G2" t="s">
        <v>179</v>
      </c>
      <c r="H2" t="s">
        <v>180</v>
      </c>
    </row>
    <row r="3" spans="1:8" x14ac:dyDescent="0.45">
      <c r="A3">
        <v>1</v>
      </c>
      <c r="B3">
        <v>10</v>
      </c>
      <c r="C3" cm="1">
        <f t="array" ref="C3">(INDEX(ManualSlopeIntercept_Table[b (Intercept)],ROWS(ManualSlopeIntercept_Table[b (Intercept)])))+(INDEX(ManualSlopeIntercept_Table[a (Slope)],ROWS(ManualSlopeIntercept_Table[a (Slope)])))*LinearRegressionProblem_Table[[#This Row],[AdSpent]]</f>
        <v>0</v>
      </c>
      <c r="D3">
        <f>LinearRegressionProblem_Table[[#This Row],[SALES
Predicted
Y''-Axis]]-LinearRegressionProblem_Table[[#This Row],[Sales]]</f>
        <v>-10</v>
      </c>
      <c r="E3">
        <f>POWER(LinearRegressionProblem_Table[[#This Row],[ERROR
Predicted - Actual]],2)</f>
        <v>100</v>
      </c>
      <c r="G3">
        <v>0</v>
      </c>
      <c r="H3">
        <v>0</v>
      </c>
    </row>
    <row r="4" spans="1:8" x14ac:dyDescent="0.45">
      <c r="A4">
        <v>2</v>
      </c>
      <c r="B4">
        <v>20</v>
      </c>
      <c r="C4" cm="1">
        <f t="array" ref="C4">(INDEX(ManualSlopeIntercept_Table[b (Intercept)],ROWS(ManualSlopeIntercept_Table[b (Intercept)])))+(INDEX(ManualSlopeIntercept_Table[a (Slope)],ROWS(ManualSlopeIntercept_Table[a (Slope)])))*LinearRegressionProblem_Table[[#This Row],[AdSpent]]</f>
        <v>0</v>
      </c>
      <c r="D4">
        <f>LinearRegressionProblem_Table[[#This Row],[SALES
Predicted
Y''-Axis]]-LinearRegressionProblem_Table[[#This Row],[Sales]]</f>
        <v>-20</v>
      </c>
      <c r="E4">
        <f>POWER(LinearRegressionProblem_Table[[#This Row],[ERROR
Predicted - Actual]],2)</f>
        <v>400</v>
      </c>
    </row>
    <row r="5" spans="1:8" x14ac:dyDescent="0.45">
      <c r="A5">
        <v>3</v>
      </c>
      <c r="B5">
        <v>30</v>
      </c>
      <c r="C5" cm="1">
        <f t="array" ref="C5">(INDEX(ManualSlopeIntercept_Table[b (Intercept)],ROWS(ManualSlopeIntercept_Table[b (Intercept)])))+(INDEX(ManualSlopeIntercept_Table[a (Slope)],ROWS(ManualSlopeIntercept_Table[a (Slope)])))*LinearRegressionProblem_Table[[#This Row],[AdSpent]]</f>
        <v>0</v>
      </c>
      <c r="D5">
        <f>LinearRegressionProblem_Table[[#This Row],[SALES
Predicted
Y''-Axis]]-LinearRegressionProblem_Table[[#This Row],[Sales]]</f>
        <v>-30</v>
      </c>
      <c r="E5">
        <f>POWER(LinearRegressionProblem_Table[[#This Row],[ERROR
Predicted - Actual]],2)</f>
        <v>900</v>
      </c>
    </row>
    <row r="6" spans="1:8" x14ac:dyDescent="0.45">
      <c r="A6">
        <v>4</v>
      </c>
      <c r="B6">
        <v>40</v>
      </c>
      <c r="C6" cm="1">
        <f t="array" ref="C6">(INDEX(ManualSlopeIntercept_Table[b (Intercept)],ROWS(ManualSlopeIntercept_Table[b (Intercept)])))+(INDEX(ManualSlopeIntercept_Table[a (Slope)],ROWS(ManualSlopeIntercept_Table[a (Slope)])))*LinearRegressionProblem_Table[[#This Row],[AdSpent]]</f>
        <v>0</v>
      </c>
      <c r="D6">
        <f>LinearRegressionProblem_Table[[#This Row],[SALES
Predicted
Y''-Axis]]-LinearRegressionProblem_Table[[#This Row],[Sales]]</f>
        <v>-40</v>
      </c>
      <c r="E6">
        <f>POWER(LinearRegressionProblem_Table[[#This Row],[ERROR
Predicted - Actual]],2)</f>
        <v>1600</v>
      </c>
    </row>
    <row r="7" spans="1:8" x14ac:dyDescent="0.45">
      <c r="A7">
        <v>5</v>
      </c>
      <c r="B7">
        <v>50</v>
      </c>
      <c r="C7" cm="1">
        <f t="array" ref="C7">(INDEX(ManualSlopeIntercept_Table[b (Intercept)],ROWS(ManualSlopeIntercept_Table[b (Intercept)])))+(INDEX(ManualSlopeIntercept_Table[a (Slope)],ROWS(ManualSlopeIntercept_Table[a (Slope)])))*LinearRegressionProblem_Table[[#This Row],[AdSpent]]</f>
        <v>0</v>
      </c>
      <c r="D7">
        <f>LinearRegressionProblem_Table[[#This Row],[SALES
Predicted
Y''-Axis]]-LinearRegressionProblem_Table[[#This Row],[Sales]]</f>
        <v>-50</v>
      </c>
      <c r="E7">
        <f>POWER(LinearRegressionProblem_Table[[#This Row],[ERROR
Predicted - Actual]],2)</f>
        <v>2500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A3ADE-5839-4BC3-B4DA-C1C1C9A4B3A8}">
  <dimension ref="A1:C1"/>
  <sheetViews>
    <sheetView zoomScale="130" zoomScaleNormal="130" workbookViewId="0"/>
  </sheetViews>
  <sheetFormatPr defaultRowHeight="14.25" x14ac:dyDescent="0.45"/>
  <cols>
    <col min="1" max="1" width="12.19921875" bestFit="1" customWidth="1"/>
    <col min="2" max="2" width="14.06640625" bestFit="1" customWidth="1"/>
    <col min="3" max="3" width="11.06640625" bestFit="1" customWidth="1"/>
  </cols>
  <sheetData>
    <row r="1" spans="1:3" x14ac:dyDescent="0.45">
      <c r="A1" t="s">
        <v>203</v>
      </c>
      <c r="B1" t="s">
        <v>204</v>
      </c>
      <c r="C1" t="s">
        <v>205</v>
      </c>
    </row>
  </sheetData>
  <pageMargins left="0.7" right="0.7" top="0.75" bottom="0.75" header="0.3" footer="0.3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3E73A-2AC7-440D-8736-1EBB6B627333}">
  <dimension ref="A1:J17"/>
  <sheetViews>
    <sheetView workbookViewId="0"/>
  </sheetViews>
  <sheetFormatPr defaultRowHeight="14.25" x14ac:dyDescent="0.45"/>
  <cols>
    <col min="1" max="3" width="13.33203125" style="54" customWidth="1"/>
    <col min="4" max="4" width="9.06640625" style="54"/>
    <col min="5" max="7" width="13.33203125" style="54" customWidth="1"/>
    <col min="8" max="8" width="9.06640625" style="54"/>
    <col min="9" max="10" width="13.33203125" style="54" customWidth="1"/>
    <col min="11" max="16384" width="9.06640625" style="54"/>
  </cols>
  <sheetData>
    <row r="1" spans="1:10" x14ac:dyDescent="0.45">
      <c r="A1" s="15" t="s">
        <v>207</v>
      </c>
      <c r="B1" s="15" t="s">
        <v>208</v>
      </c>
      <c r="C1" s="15" t="s">
        <v>209</v>
      </c>
      <c r="E1" s="15" t="s">
        <v>213</v>
      </c>
      <c r="F1" s="15" t="s">
        <v>214</v>
      </c>
      <c r="G1" s="15" t="s">
        <v>215</v>
      </c>
      <c r="I1" s="15" t="s">
        <v>216</v>
      </c>
      <c r="J1" s="15" t="s">
        <v>215</v>
      </c>
    </row>
    <row r="2" spans="1:10" x14ac:dyDescent="0.45">
      <c r="A2">
        <v>3.7</v>
      </c>
      <c r="B2">
        <v>5.3</v>
      </c>
      <c r="C2" t="s">
        <v>210</v>
      </c>
      <c r="E2"/>
      <c r="F2"/>
      <c r="G2"/>
      <c r="I2"/>
      <c r="J2"/>
    </row>
    <row r="3" spans="1:10" x14ac:dyDescent="0.45">
      <c r="A3">
        <v>3.8</v>
      </c>
      <c r="B3">
        <v>5.0999999999999996</v>
      </c>
      <c r="C3" t="s">
        <v>210</v>
      </c>
      <c r="E3"/>
      <c r="F3"/>
      <c r="G3"/>
      <c r="I3"/>
      <c r="J3"/>
    </row>
    <row r="4" spans="1:10" x14ac:dyDescent="0.45">
      <c r="A4">
        <v>3</v>
      </c>
      <c r="B4">
        <v>7.2</v>
      </c>
      <c r="C4" t="s">
        <v>211</v>
      </c>
      <c r="E4"/>
      <c r="F4"/>
      <c r="G4"/>
      <c r="I4"/>
      <c r="J4"/>
    </row>
    <row r="5" spans="1:10" x14ac:dyDescent="0.45">
      <c r="A5">
        <v>3.4</v>
      </c>
      <c r="B5">
        <v>5.4</v>
      </c>
      <c r="C5" t="s">
        <v>210</v>
      </c>
      <c r="E5"/>
      <c r="F5"/>
      <c r="G5"/>
      <c r="I5"/>
      <c r="J5"/>
    </row>
    <row r="6" spans="1:10" x14ac:dyDescent="0.45">
      <c r="A6">
        <v>3.3</v>
      </c>
      <c r="B6">
        <v>5.0999999999999996</v>
      </c>
      <c r="C6" t="s">
        <v>210</v>
      </c>
      <c r="E6"/>
      <c r="F6"/>
      <c r="G6"/>
      <c r="I6"/>
      <c r="J6"/>
    </row>
    <row r="7" spans="1:10" x14ac:dyDescent="0.45">
      <c r="A7">
        <v>3.9</v>
      </c>
      <c r="B7">
        <v>5.4</v>
      </c>
      <c r="C7" t="s">
        <v>210</v>
      </c>
      <c r="E7"/>
      <c r="F7"/>
      <c r="G7"/>
      <c r="I7"/>
      <c r="J7"/>
    </row>
    <row r="8" spans="1:10" x14ac:dyDescent="0.45">
      <c r="A8">
        <v>2.8</v>
      </c>
      <c r="B8">
        <v>7.4</v>
      </c>
      <c r="C8" t="s">
        <v>211</v>
      </c>
      <c r="E8"/>
      <c r="F8"/>
      <c r="G8"/>
      <c r="I8"/>
      <c r="J8"/>
    </row>
    <row r="9" spans="1:10" x14ac:dyDescent="0.45">
      <c r="A9">
        <v>2.8</v>
      </c>
      <c r="B9">
        <v>6.1</v>
      </c>
      <c r="C9" t="s">
        <v>212</v>
      </c>
      <c r="E9"/>
      <c r="F9"/>
      <c r="G9"/>
      <c r="I9"/>
      <c r="J9"/>
    </row>
    <row r="10" spans="1:10" x14ac:dyDescent="0.45">
      <c r="A10">
        <v>2.9</v>
      </c>
      <c r="B10">
        <v>7.3</v>
      </c>
      <c r="C10" t="s">
        <v>211</v>
      </c>
      <c r="E10"/>
      <c r="F10"/>
      <c r="G10"/>
      <c r="I10"/>
      <c r="J10"/>
    </row>
    <row r="11" spans="1:10" x14ac:dyDescent="0.45">
      <c r="A11">
        <v>2.7</v>
      </c>
      <c r="B11">
        <v>6</v>
      </c>
      <c r="C11" t="s">
        <v>212</v>
      </c>
      <c r="E11"/>
      <c r="F11"/>
      <c r="G11"/>
      <c r="I11"/>
      <c r="J11"/>
    </row>
    <row r="12" spans="1:10" x14ac:dyDescent="0.45">
      <c r="A12">
        <v>2.8</v>
      </c>
      <c r="B12">
        <v>5.8</v>
      </c>
      <c r="C12" t="s">
        <v>211</v>
      </c>
      <c r="E12"/>
      <c r="F12"/>
      <c r="G12"/>
      <c r="I12"/>
      <c r="J12"/>
    </row>
    <row r="13" spans="1:10" x14ac:dyDescent="0.45">
      <c r="A13">
        <v>2.2999999999999998</v>
      </c>
      <c r="B13">
        <v>6.3</v>
      </c>
      <c r="C13" t="s">
        <v>212</v>
      </c>
      <c r="E13"/>
      <c r="F13"/>
      <c r="G13"/>
      <c r="I13" s="15" t="s">
        <v>209</v>
      </c>
      <c r="J13" s="15" t="s">
        <v>217</v>
      </c>
    </row>
    <row r="14" spans="1:10" x14ac:dyDescent="0.45">
      <c r="A14">
        <v>2.5</v>
      </c>
      <c r="B14">
        <v>5.0999999999999996</v>
      </c>
      <c r="C14" t="s">
        <v>212</v>
      </c>
      <c r="E14"/>
      <c r="F14"/>
      <c r="G14"/>
      <c r="I14"/>
      <c r="J14"/>
    </row>
    <row r="15" spans="1:10" x14ac:dyDescent="0.45">
      <c r="A15">
        <v>2.5</v>
      </c>
      <c r="B15">
        <v>6.3</v>
      </c>
      <c r="C15" t="s">
        <v>212</v>
      </c>
      <c r="E15"/>
      <c r="F15"/>
      <c r="G15"/>
      <c r="I15"/>
      <c r="J15"/>
    </row>
    <row r="16" spans="1:10" x14ac:dyDescent="0.45">
      <c r="A16">
        <v>2.4</v>
      </c>
      <c r="B16">
        <v>5.5</v>
      </c>
      <c r="C16" t="s">
        <v>212</v>
      </c>
      <c r="E16"/>
      <c r="F16"/>
      <c r="G16"/>
      <c r="I16"/>
      <c r="J16"/>
    </row>
    <row r="17" spans="1:10" x14ac:dyDescent="0.45">
      <c r="A17" s="57">
        <v>3</v>
      </c>
      <c r="B17" s="57">
        <v>2</v>
      </c>
      <c r="C17" s="57" t="str" cm="1">
        <f t="array" ref="C17">IFERROR(INDEX($I$13:$I$16,MATCH(MAX($J$13:$J$16),$J$13:$J$16,0),0),"?????")</f>
        <v>?????</v>
      </c>
      <c r="E17" s="53"/>
      <c r="F17" s="53"/>
      <c r="G17" s="53"/>
      <c r="I17" s="53"/>
      <c r="J17" s="53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98BD5-BAC3-4F8F-B9ED-E7E993F8AB80}">
  <dimension ref="A1:F18"/>
  <sheetViews>
    <sheetView zoomScale="115" zoomScaleNormal="115" workbookViewId="0">
      <pane ySplit="1" topLeftCell="A2" activePane="bottomLeft" state="frozen"/>
      <selection pane="bottomLeft"/>
    </sheetView>
  </sheetViews>
  <sheetFormatPr defaultColWidth="10.59765625" defaultRowHeight="14.25" x14ac:dyDescent="0.45"/>
  <cols>
    <col min="1" max="16384" width="10.59765625" style="107"/>
  </cols>
  <sheetData>
    <row r="1" spans="1:6" x14ac:dyDescent="0.45">
      <c r="A1" s="107" t="s">
        <v>294</v>
      </c>
      <c r="B1" s="107" t="s">
        <v>8</v>
      </c>
      <c r="C1" s="107" t="s">
        <v>72</v>
      </c>
      <c r="D1" s="107" t="s">
        <v>304</v>
      </c>
      <c r="E1" s="107" t="s">
        <v>293</v>
      </c>
    </row>
    <row r="2" spans="1:6" x14ac:dyDescent="0.45">
      <c r="A2" s="107" t="s">
        <v>43</v>
      </c>
      <c r="B2" s="107">
        <v>25</v>
      </c>
      <c r="C2" s="122">
        <v>3000</v>
      </c>
      <c r="D2" s="122">
        <v>500</v>
      </c>
      <c r="E2" s="107" t="s">
        <v>295</v>
      </c>
    </row>
    <row r="3" spans="1:6" x14ac:dyDescent="0.45">
      <c r="A3" s="107" t="s">
        <v>303</v>
      </c>
      <c r="B3" s="107">
        <v>30</v>
      </c>
      <c r="C3" s="122">
        <v>4000</v>
      </c>
      <c r="D3" s="122">
        <v>1000</v>
      </c>
      <c r="E3" s="107" t="s">
        <v>295</v>
      </c>
    </row>
    <row r="4" spans="1:6" x14ac:dyDescent="0.45">
      <c r="A4" s="107" t="s">
        <v>302</v>
      </c>
      <c r="B4" s="107">
        <v>35</v>
      </c>
      <c r="C4" s="122">
        <v>6000</v>
      </c>
      <c r="D4" s="122">
        <v>1500</v>
      </c>
      <c r="E4" s="107" t="s">
        <v>297</v>
      </c>
    </row>
    <row r="5" spans="1:6" x14ac:dyDescent="0.45">
      <c r="A5" s="107" t="s">
        <v>301</v>
      </c>
      <c r="B5" s="107">
        <v>40</v>
      </c>
      <c r="C5" s="122">
        <v>7000</v>
      </c>
      <c r="D5" s="122">
        <v>2000</v>
      </c>
      <c r="E5" s="107" t="s">
        <v>297</v>
      </c>
    </row>
    <row r="6" spans="1:6" x14ac:dyDescent="0.45">
      <c r="A6" s="107" t="s">
        <v>300</v>
      </c>
      <c r="B6" s="107">
        <v>28</v>
      </c>
      <c r="C6" s="122">
        <v>3500</v>
      </c>
      <c r="D6" s="122">
        <v>800</v>
      </c>
      <c r="E6" s="107" t="s">
        <v>295</v>
      </c>
    </row>
    <row r="7" spans="1:6" x14ac:dyDescent="0.45">
      <c r="A7" s="107" t="s">
        <v>299</v>
      </c>
      <c r="B7" s="107">
        <v>42</v>
      </c>
      <c r="C7" s="122">
        <v>8000</v>
      </c>
      <c r="D7" s="122">
        <v>2200</v>
      </c>
      <c r="E7" s="107" t="s">
        <v>297</v>
      </c>
    </row>
    <row r="8" spans="1:6" x14ac:dyDescent="0.45">
      <c r="A8" s="107" t="s">
        <v>298</v>
      </c>
      <c r="B8" s="107">
        <v>50</v>
      </c>
      <c r="C8" s="122">
        <v>9000</v>
      </c>
      <c r="D8" s="122">
        <v>2500</v>
      </c>
      <c r="E8" s="107" t="s">
        <v>297</v>
      </c>
    </row>
    <row r="9" spans="1:6" x14ac:dyDescent="0.45">
      <c r="A9" s="107" t="s">
        <v>296</v>
      </c>
      <c r="B9" s="107">
        <v>23</v>
      </c>
      <c r="C9" s="122">
        <v>2800</v>
      </c>
      <c r="D9" s="122">
        <v>400</v>
      </c>
      <c r="E9" s="107" t="s">
        <v>295</v>
      </c>
    </row>
    <row r="10" spans="1:6" ht="14.65" thickBot="1" x14ac:dyDescent="0.5"/>
    <row r="11" spans="1:6" ht="14.65" thickBot="1" x14ac:dyDescent="0.5">
      <c r="A11" s="121"/>
      <c r="B11" s="120"/>
      <c r="C11" s="120"/>
      <c r="D11" s="119"/>
    </row>
    <row r="12" spans="1:6" ht="14.65" thickBot="1" x14ac:dyDescent="0.5"/>
    <row r="13" spans="1:6" x14ac:dyDescent="0.45">
      <c r="A13" s="118" t="s">
        <v>216</v>
      </c>
      <c r="B13" s="117" t="s">
        <v>294</v>
      </c>
      <c r="C13" s="116" t="s">
        <v>293</v>
      </c>
      <c r="E13" s="144" t="s">
        <v>292</v>
      </c>
      <c r="F13" s="145"/>
    </row>
    <row r="14" spans="1:6" x14ac:dyDescent="0.45">
      <c r="A14" s="113"/>
      <c r="B14" s="112"/>
      <c r="C14" s="111"/>
      <c r="E14" s="115" t="s">
        <v>291</v>
      </c>
      <c r="F14" s="114" t="s">
        <v>290</v>
      </c>
    </row>
    <row r="15" spans="1:6" ht="14.65" thickBot="1" x14ac:dyDescent="0.5">
      <c r="A15" s="113"/>
      <c r="B15" s="112"/>
      <c r="C15" s="111"/>
      <c r="E15" s="110"/>
      <c r="F15" s="108"/>
    </row>
    <row r="16" spans="1:6" ht="14.65" thickBot="1" x14ac:dyDescent="0.5">
      <c r="A16" s="113"/>
      <c r="B16" s="112"/>
      <c r="C16" s="111"/>
    </row>
    <row r="17" spans="1:6" x14ac:dyDescent="0.45">
      <c r="A17" s="113"/>
      <c r="B17" s="112"/>
      <c r="C17" s="111"/>
      <c r="E17" s="146" t="s">
        <v>289</v>
      </c>
      <c r="F17" s="147"/>
    </row>
    <row r="18" spans="1:6" ht="14.65" thickBot="1" x14ac:dyDescent="0.5">
      <c r="A18" s="110"/>
      <c r="B18" s="109"/>
      <c r="C18" s="108"/>
      <c r="E18" s="148"/>
      <c r="F18" s="149"/>
    </row>
  </sheetData>
  <mergeCells count="3">
    <mergeCell ref="E13:F13"/>
    <mergeCell ref="E17:F17"/>
    <mergeCell ref="E18:F18"/>
  </mergeCells>
  <pageMargins left="0.7" right="0.7" top="0.75" bottom="0.75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421A7-3CED-47D9-AF9B-54895D1C0B0E}">
  <dimension ref="A1:G9"/>
  <sheetViews>
    <sheetView zoomScale="205" zoomScaleNormal="205" workbookViewId="0"/>
  </sheetViews>
  <sheetFormatPr defaultRowHeight="14.25" x14ac:dyDescent="0.45"/>
  <cols>
    <col min="4" max="4" width="11.86328125" bestFit="1" customWidth="1"/>
  </cols>
  <sheetData>
    <row r="1" spans="1:7" x14ac:dyDescent="0.45">
      <c r="A1" s="55" t="s">
        <v>249</v>
      </c>
      <c r="B1" s="56" t="s">
        <v>70</v>
      </c>
      <c r="E1" s="150" t="s">
        <v>218</v>
      </c>
      <c r="F1" s="150"/>
      <c r="G1" s="150"/>
    </row>
    <row r="2" spans="1:7" x14ac:dyDescent="0.45">
      <c r="A2" s="58"/>
      <c r="B2" s="20"/>
      <c r="D2" s="61" t="s">
        <v>219</v>
      </c>
      <c r="E2" s="60">
        <v>0.5</v>
      </c>
      <c r="F2" s="59">
        <v>1</v>
      </c>
      <c r="G2" s="59">
        <v>1.5</v>
      </c>
    </row>
    <row r="3" spans="1:7" x14ac:dyDescent="0.45">
      <c r="A3" s="58"/>
      <c r="B3" s="20"/>
      <c r="D3" s="62">
        <v>0</v>
      </c>
      <c r="E3" s="63" t="str" cm="1">
        <f t="array" ref="E3">IF($B$5&lt;&gt;"",AVERAGE((E$2*$A$2:$A$5+$D3-$B$2:$B$5)^2),"")</f>
        <v/>
      </c>
      <c r="F3" s="63"/>
      <c r="G3" s="63"/>
    </row>
    <row r="4" spans="1:7" x14ac:dyDescent="0.45">
      <c r="A4" s="58"/>
      <c r="B4" s="20"/>
      <c r="D4" s="62">
        <v>1</v>
      </c>
      <c r="E4" s="63"/>
      <c r="F4" s="63"/>
      <c r="G4" s="63"/>
    </row>
    <row r="5" spans="1:7" ht="14.65" thickBot="1" x14ac:dyDescent="0.5">
      <c r="A5" s="12"/>
      <c r="B5" s="14"/>
      <c r="D5" s="62">
        <v>2</v>
      </c>
      <c r="E5" s="63"/>
      <c r="F5" s="63"/>
      <c r="G5" s="63"/>
    </row>
    <row r="6" spans="1:7" ht="14.65" thickBot="1" x14ac:dyDescent="0.5"/>
    <row r="7" spans="1:7" x14ac:dyDescent="0.45">
      <c r="D7" s="64" t="s">
        <v>220</v>
      </c>
      <c r="E7" s="65"/>
    </row>
    <row r="8" spans="1:7" x14ac:dyDescent="0.45">
      <c r="D8" s="66" t="s">
        <v>221</v>
      </c>
      <c r="E8" s="67" t="str" cm="1">
        <f t="array" ref="E8">IF(E7&lt;&gt;"",_xlfn.LET(
  _xlpm.grid, E3:G5,
  _xlpm.best, MIN(_xlpm.grid),
  _xlpm.pos, MATCH(_xlpm.best, _xlfn.TOCOL(_xlpm.grid), 0),
  _xlpm.cols, COLUMNS(_xlpm.grid),
  _xlpm.colIndex, MOD(_xlpm.pos-1, _xlpm.cols)+1,
  INDEX(E2:G2, _xlpm.colIndex)
),"")</f>
        <v/>
      </c>
    </row>
    <row r="9" spans="1:7" ht="14.65" thickBot="1" x14ac:dyDescent="0.5">
      <c r="D9" s="68" t="s">
        <v>222</v>
      </c>
      <c r="E9" s="69" t="str" cm="1">
        <f t="array" ref="E9">IF(E7&lt;&gt;"",_xlfn.LET(
  _xlpm.grid, E3:G5,
  _xlpm.best, MIN(_xlpm.grid),
  _xlpm.pos, MATCH(_xlpm.best, _xlfn.TOCOL(_xlpm.grid), 0),
  _xlpm.cols, COLUMNS(_xlpm.grid),
  _xlpm.rowIndex, QUOTIENT(_xlpm.pos-1, _xlpm.cols)+1,
  INDEX(D3:D5, _xlpm.rowIndex)
),"")</f>
        <v/>
      </c>
    </row>
  </sheetData>
  <mergeCells count="1">
    <mergeCell ref="E1:G1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09A6F-824E-469D-86F7-4067BF9125E0}">
  <dimension ref="A1:I10"/>
  <sheetViews>
    <sheetView zoomScale="130" zoomScaleNormal="130" workbookViewId="0"/>
  </sheetViews>
  <sheetFormatPr defaultRowHeight="14.25" x14ac:dyDescent="0.45"/>
  <cols>
    <col min="4" max="4" width="16.33203125" bestFit="1" customWidth="1"/>
    <col min="5" max="5" width="16.59765625" bestFit="1" customWidth="1"/>
    <col min="7" max="7" width="11.86328125" bestFit="1" customWidth="1"/>
    <col min="8" max="8" width="12.1328125" bestFit="1" customWidth="1"/>
    <col min="14" max="14" width="11.73046875" bestFit="1" customWidth="1"/>
    <col min="15" max="15" width="8.9296875" bestFit="1" customWidth="1"/>
    <col min="16" max="16" width="11.796875" bestFit="1" customWidth="1"/>
  </cols>
  <sheetData>
    <row r="1" spans="1:9" x14ac:dyDescent="0.45">
      <c r="A1" s="8" t="s">
        <v>198</v>
      </c>
      <c r="B1" s="71" t="s">
        <v>70</v>
      </c>
      <c r="D1" s="74" t="s">
        <v>227</v>
      </c>
      <c r="E1" s="75" t="s">
        <v>228</v>
      </c>
      <c r="G1" s="8" t="s">
        <v>218</v>
      </c>
      <c r="H1" s="9" t="s">
        <v>219</v>
      </c>
      <c r="I1" s="71" t="s">
        <v>187</v>
      </c>
    </row>
    <row r="2" spans="1:9" ht="14.65" thickBot="1" x14ac:dyDescent="0.5">
      <c r="A2" s="58"/>
      <c r="B2" s="20"/>
      <c r="D2" s="12"/>
      <c r="E2" s="14"/>
      <c r="G2" s="58"/>
      <c r="H2" s="70"/>
      <c r="I2" s="20" t="str" cm="1">
        <f t="array" ref="I2">IF(H2&lt;&gt;"",AVERAGE((G2*$A$2:$A$5 + H2 - $B$2:$B$5)^2),"")</f>
        <v/>
      </c>
    </row>
    <row r="3" spans="1:9" ht="14.65" thickBot="1" x14ac:dyDescent="0.5">
      <c r="A3" s="58"/>
      <c r="B3" s="20"/>
      <c r="G3" s="58"/>
      <c r="H3" s="70"/>
      <c r="I3" s="20"/>
    </row>
    <row r="4" spans="1:9" x14ac:dyDescent="0.45">
      <c r="A4" s="58"/>
      <c r="B4" s="20"/>
      <c r="D4" s="72" t="s">
        <v>225</v>
      </c>
      <c r="E4" s="73" t="s">
        <v>226</v>
      </c>
      <c r="G4" s="58"/>
      <c r="H4" s="70"/>
      <c r="I4" s="20"/>
    </row>
    <row r="5" spans="1:9" ht="14.65" thickBot="1" x14ac:dyDescent="0.5">
      <c r="A5" s="12"/>
      <c r="B5" s="14"/>
      <c r="D5" s="12"/>
      <c r="E5" s="14"/>
      <c r="G5" s="58"/>
      <c r="H5" s="70"/>
      <c r="I5" s="20"/>
    </row>
    <row r="6" spans="1:9" x14ac:dyDescent="0.45">
      <c r="G6" s="58"/>
      <c r="H6" s="70"/>
      <c r="I6" s="20"/>
    </row>
    <row r="7" spans="1:9" ht="14.65" thickBot="1" x14ac:dyDescent="0.5">
      <c r="G7" s="58"/>
      <c r="H7" s="70"/>
      <c r="I7" s="20"/>
    </row>
    <row r="8" spans="1:9" x14ac:dyDescent="0.45">
      <c r="D8" s="76" t="s">
        <v>220</v>
      </c>
      <c r="E8" s="65"/>
      <c r="G8" s="58"/>
      <c r="H8" s="70"/>
      <c r="I8" s="20"/>
    </row>
    <row r="9" spans="1:9" x14ac:dyDescent="0.45">
      <c r="D9" s="77" t="s">
        <v>221</v>
      </c>
      <c r="E9" s="67"/>
      <c r="G9" s="58"/>
      <c r="H9" s="70"/>
      <c r="I9" s="20"/>
    </row>
    <row r="10" spans="1:9" ht="14.65" thickBot="1" x14ac:dyDescent="0.5">
      <c r="D10" s="78" t="s">
        <v>222</v>
      </c>
      <c r="E10" s="69"/>
      <c r="G10" s="12"/>
      <c r="H10" s="13"/>
      <c r="I10" s="14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C0C27-6357-4742-ADE6-1676C0D75809}">
  <dimension ref="A1:M12"/>
  <sheetViews>
    <sheetView zoomScale="115" zoomScaleNormal="115" workbookViewId="0">
      <selection sqref="A1:C1"/>
    </sheetView>
  </sheetViews>
  <sheetFormatPr defaultRowHeight="14.25" x14ac:dyDescent="0.45"/>
  <cols>
    <col min="10" max="13" width="10.73046875" bestFit="1" customWidth="1"/>
  </cols>
  <sheetData>
    <row r="1" spans="1:13" x14ac:dyDescent="0.45">
      <c r="A1" s="151" t="s">
        <v>230</v>
      </c>
      <c r="B1" s="151"/>
      <c r="C1" s="151"/>
      <c r="D1" s="79"/>
      <c r="E1" s="152" t="s">
        <v>231</v>
      </c>
      <c r="F1" s="152"/>
      <c r="G1" s="152"/>
      <c r="H1" s="152"/>
      <c r="I1" s="79"/>
      <c r="J1" s="80"/>
      <c r="K1" s="80"/>
      <c r="L1" s="80"/>
      <c r="M1" s="80"/>
    </row>
    <row r="2" spans="1:13" ht="26.25" x14ac:dyDescent="0.45">
      <c r="A2" s="81" t="s">
        <v>232</v>
      </c>
      <c r="B2" s="81" t="s">
        <v>233</v>
      </c>
      <c r="C2" s="81" t="s">
        <v>234</v>
      </c>
      <c r="D2" s="79"/>
      <c r="E2" s="81" t="s">
        <v>232</v>
      </c>
      <c r="F2" s="81"/>
      <c r="G2" s="81"/>
      <c r="H2" s="81"/>
      <c r="I2" s="79"/>
      <c r="J2" s="81" t="s">
        <v>235</v>
      </c>
      <c r="K2" s="81" t="s">
        <v>236</v>
      </c>
      <c r="L2" s="81" t="s">
        <v>237</v>
      </c>
      <c r="M2" s="81" t="s">
        <v>238</v>
      </c>
    </row>
    <row r="3" spans="1:13" x14ac:dyDescent="0.45">
      <c r="A3" s="82">
        <v>1</v>
      </c>
      <c r="B3" s="83">
        <v>4.9000000000000004</v>
      </c>
      <c r="C3" s="83">
        <v>3</v>
      </c>
      <c r="D3" s="79"/>
      <c r="E3" s="82">
        <v>1</v>
      </c>
      <c r="F3" s="80"/>
      <c r="G3" s="80"/>
      <c r="H3" s="80"/>
      <c r="I3" s="79"/>
      <c r="J3" s="80"/>
      <c r="K3" s="80"/>
      <c r="L3" s="80"/>
      <c r="M3" s="80"/>
    </row>
    <row r="4" spans="1:13" x14ac:dyDescent="0.45">
      <c r="A4" s="82">
        <v>2</v>
      </c>
      <c r="B4" s="83">
        <v>5.0999999999999996</v>
      </c>
      <c r="C4" s="83">
        <v>3.5</v>
      </c>
      <c r="D4" s="79"/>
      <c r="E4" s="82">
        <v>2</v>
      </c>
      <c r="F4" s="80"/>
      <c r="G4" s="80"/>
      <c r="H4" s="80"/>
      <c r="I4" s="79"/>
      <c r="J4" s="80"/>
      <c r="K4" s="80"/>
      <c r="L4" s="80"/>
      <c r="M4" s="80"/>
    </row>
    <row r="5" spans="1:13" x14ac:dyDescent="0.45">
      <c r="A5" s="82">
        <v>3</v>
      </c>
      <c r="B5" s="83">
        <v>7</v>
      </c>
      <c r="C5" s="83">
        <v>3.2</v>
      </c>
      <c r="D5" s="79"/>
      <c r="E5" s="82">
        <v>3</v>
      </c>
      <c r="F5" s="80"/>
      <c r="G5" s="80"/>
      <c r="H5" s="80"/>
      <c r="I5" s="79"/>
      <c r="J5" s="80"/>
      <c r="K5" s="80"/>
      <c r="L5" s="80"/>
      <c r="M5" s="80"/>
    </row>
    <row r="6" spans="1:13" x14ac:dyDescent="0.45">
      <c r="A6" s="82">
        <v>4</v>
      </c>
      <c r="B6" s="83">
        <v>6.4</v>
      </c>
      <c r="C6" s="83">
        <v>3.2</v>
      </c>
      <c r="D6" s="79"/>
      <c r="E6" s="82">
        <v>4</v>
      </c>
      <c r="F6" s="80"/>
      <c r="G6" s="80"/>
      <c r="H6" s="80"/>
      <c r="I6" s="79"/>
      <c r="J6" s="80"/>
      <c r="K6" s="80"/>
      <c r="L6" s="80"/>
      <c r="M6" s="80"/>
    </row>
    <row r="7" spans="1:13" x14ac:dyDescent="0.45">
      <c r="A7" s="82">
        <v>5</v>
      </c>
      <c r="B7" s="83">
        <v>6.3</v>
      </c>
      <c r="C7" s="83">
        <v>3.3</v>
      </c>
      <c r="D7" s="79"/>
      <c r="E7" s="82">
        <v>5</v>
      </c>
      <c r="F7" s="80"/>
      <c r="G7" s="80"/>
      <c r="H7" s="80"/>
      <c r="I7" s="79"/>
      <c r="J7" s="80"/>
      <c r="K7" s="80"/>
      <c r="L7" s="80"/>
      <c r="M7" s="80"/>
    </row>
    <row r="8" spans="1:13" x14ac:dyDescent="0.45">
      <c r="A8" s="82">
        <v>6</v>
      </c>
      <c r="B8" s="83">
        <v>5.8</v>
      </c>
      <c r="C8" s="83">
        <v>2.7</v>
      </c>
      <c r="D8" s="79"/>
      <c r="E8" s="82">
        <v>6</v>
      </c>
      <c r="F8" s="80"/>
      <c r="G8" s="80"/>
      <c r="H8" s="80"/>
      <c r="I8" s="79"/>
      <c r="J8" s="80"/>
      <c r="K8" s="80"/>
      <c r="L8" s="80"/>
      <c r="M8" s="80"/>
    </row>
    <row r="9" spans="1:13" x14ac:dyDescent="0.45">
      <c r="A9" s="79"/>
      <c r="B9" s="79"/>
      <c r="C9" s="79"/>
      <c r="D9" s="79"/>
      <c r="E9" s="80"/>
      <c r="F9" s="80"/>
      <c r="G9" s="80"/>
      <c r="H9" s="80"/>
      <c r="I9" s="79"/>
      <c r="J9" s="80"/>
      <c r="K9" s="80"/>
      <c r="L9" s="80"/>
      <c r="M9" s="80"/>
    </row>
    <row r="10" spans="1:13" x14ac:dyDescent="0.45">
      <c r="A10" s="84"/>
      <c r="B10" s="80"/>
      <c r="C10" s="80"/>
      <c r="D10" s="79"/>
      <c r="E10" s="80"/>
      <c r="F10" s="80"/>
      <c r="G10" s="80"/>
      <c r="H10" s="80"/>
      <c r="I10" s="79"/>
      <c r="J10" s="80"/>
      <c r="K10" s="80"/>
      <c r="L10" s="80"/>
      <c r="M10" s="80"/>
    </row>
    <row r="11" spans="1:13" x14ac:dyDescent="0.45">
      <c r="A11" s="84"/>
      <c r="B11" s="80"/>
      <c r="C11" s="80"/>
      <c r="D11" s="79"/>
      <c r="E11" s="80"/>
      <c r="F11" s="80"/>
      <c r="G11" s="80"/>
      <c r="H11" s="80"/>
      <c r="I11" s="79"/>
      <c r="J11" s="80"/>
      <c r="K11" s="80"/>
      <c r="L11" s="80"/>
      <c r="M11" s="80"/>
    </row>
    <row r="12" spans="1:13" x14ac:dyDescent="0.45">
      <c r="A12" s="79"/>
      <c r="B12" s="79"/>
      <c r="C12" s="79"/>
      <c r="D12" s="79"/>
      <c r="E12" s="80"/>
      <c r="F12" s="80"/>
      <c r="G12" s="80"/>
      <c r="H12" s="80"/>
      <c r="I12" s="79"/>
      <c r="J12" s="80"/>
      <c r="K12" s="80"/>
      <c r="L12" s="80"/>
      <c r="M12" s="80"/>
    </row>
  </sheetData>
  <mergeCells count="2">
    <mergeCell ref="A1:C1"/>
    <mergeCell ref="E1:H1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2018E-3A1C-4459-989B-B8A2CE6DA98E}">
  <dimension ref="A1:H11"/>
  <sheetViews>
    <sheetView zoomScale="130" zoomScaleNormal="130" workbookViewId="0"/>
  </sheetViews>
  <sheetFormatPr defaultRowHeight="14.25" x14ac:dyDescent="0.45"/>
  <cols>
    <col min="1" max="3" width="13.46484375" customWidth="1"/>
    <col min="4" max="4" width="16.1328125" customWidth="1"/>
    <col min="5" max="5" width="13.46484375" customWidth="1"/>
    <col min="6" max="6" width="20.46484375" customWidth="1"/>
    <col min="7" max="7" width="3.53125" style="54" customWidth="1"/>
    <col min="8" max="8" width="27.6640625" bestFit="1" customWidth="1"/>
  </cols>
  <sheetData>
    <row r="1" spans="1:8" x14ac:dyDescent="0.45">
      <c r="A1" s="22" t="s">
        <v>240</v>
      </c>
      <c r="B1" s="86" t="s">
        <v>241</v>
      </c>
      <c r="C1" s="86" t="s">
        <v>242</v>
      </c>
      <c r="D1" s="86" t="s">
        <v>243</v>
      </c>
      <c r="E1" s="86" t="s">
        <v>244</v>
      </c>
      <c r="F1" s="87" t="s">
        <v>245</v>
      </c>
      <c r="H1" s="92" t="s">
        <v>246</v>
      </c>
    </row>
    <row r="2" spans="1:8" ht="14.65" thickBot="1" x14ac:dyDescent="0.5">
      <c r="A2" s="85"/>
      <c r="B2" s="62"/>
      <c r="C2" s="93"/>
      <c r="D2" s="93"/>
      <c r="E2" s="93"/>
      <c r="F2" s="94"/>
      <c r="H2" s="88"/>
    </row>
    <row r="3" spans="1:8" ht="14.65" thickBot="1" x14ac:dyDescent="0.5">
      <c r="A3" s="58"/>
      <c r="B3" s="62"/>
      <c r="C3" s="70"/>
      <c r="D3" s="93"/>
      <c r="E3" s="93"/>
      <c r="F3" s="94"/>
    </row>
    <row r="4" spans="1:8" x14ac:dyDescent="0.45">
      <c r="A4" s="58"/>
      <c r="B4" s="62"/>
      <c r="C4" s="70"/>
      <c r="D4" s="70"/>
      <c r="E4" s="70"/>
      <c r="F4" s="157"/>
      <c r="H4" s="153" t="s">
        <v>306</v>
      </c>
    </row>
    <row r="5" spans="1:8" ht="14.65" thickBot="1" x14ac:dyDescent="0.5">
      <c r="A5" s="58"/>
      <c r="B5" s="62"/>
      <c r="C5" s="70"/>
      <c r="D5" s="70"/>
      <c r="E5" s="70"/>
      <c r="F5" s="157"/>
      <c r="H5" s="154"/>
    </row>
    <row r="6" spans="1:8" ht="14.65" thickBot="1" x14ac:dyDescent="0.5">
      <c r="A6" s="58"/>
      <c r="B6" s="62"/>
      <c r="C6" s="70"/>
      <c r="D6" s="70"/>
      <c r="E6" s="70"/>
      <c r="F6" s="157"/>
    </row>
    <row r="7" spans="1:8" x14ac:dyDescent="0.45">
      <c r="A7" s="58"/>
      <c r="B7" s="62"/>
      <c r="C7" s="70"/>
      <c r="D7" s="70"/>
      <c r="E7" s="70"/>
      <c r="F7" s="157"/>
      <c r="H7" s="91" t="s">
        <v>248</v>
      </c>
    </row>
    <row r="8" spans="1:8" ht="14.65" thickBot="1" x14ac:dyDescent="0.5">
      <c r="A8" s="58"/>
      <c r="B8" s="62"/>
      <c r="C8" s="70"/>
      <c r="D8" s="70"/>
      <c r="E8" s="70"/>
      <c r="F8" s="157"/>
      <c r="H8" s="155"/>
    </row>
    <row r="9" spans="1:8" ht="14.65" thickBot="1" x14ac:dyDescent="0.5">
      <c r="A9" s="58"/>
      <c r="B9" s="62"/>
      <c r="C9" s="70"/>
      <c r="D9" s="70"/>
      <c r="E9" s="70"/>
      <c r="F9" s="157"/>
    </row>
    <row r="10" spans="1:8" ht="14.65" thickBot="1" x14ac:dyDescent="0.5">
      <c r="A10" s="12"/>
      <c r="B10" s="156"/>
      <c r="C10" s="13"/>
      <c r="D10" s="13"/>
      <c r="E10" s="13"/>
      <c r="F10" s="158"/>
      <c r="H10" s="90" t="s">
        <v>247</v>
      </c>
    </row>
    <row r="11" spans="1:8" ht="14.65" thickBot="1" x14ac:dyDescent="0.5">
      <c r="H11" s="8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33671D-407D-4FBD-97EB-E499454ADE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46</vt:i4>
      </vt:variant>
      <vt:variant>
        <vt:lpstr>Named Ranges</vt:lpstr>
      </vt:variant>
      <vt:variant>
        <vt:i4>2</vt:i4>
      </vt:variant>
    </vt:vector>
  </HeadingPairs>
  <TitlesOfParts>
    <vt:vector size="48" baseType="lpstr">
      <vt:lpstr>Table of Content</vt:lpstr>
      <vt:lpstr>Data Reduction</vt:lpstr>
      <vt:lpstr>Errors</vt:lpstr>
      <vt:lpstr>Outliers ZScore</vt:lpstr>
      <vt:lpstr>Outliers IQR</vt:lpstr>
      <vt:lpstr>ETL</vt:lpstr>
      <vt:lpstr>Corrupted or Unusable Data</vt:lpstr>
      <vt:lpstr>Deduplication</vt:lpstr>
      <vt:lpstr>Mean Mode Imputation</vt:lpstr>
      <vt:lpstr>Substitution</vt:lpstr>
      <vt:lpstr>Hot Deck Imputation</vt:lpstr>
      <vt:lpstr>Cold Deck Imputation</vt:lpstr>
      <vt:lpstr>Regression Imputation</vt:lpstr>
      <vt:lpstr>Descriptive Statistics</vt:lpstr>
      <vt:lpstr>Feature Engineering</vt:lpstr>
      <vt:lpstr>Normalization</vt:lpstr>
      <vt:lpstr>Standardization</vt:lpstr>
      <vt:lpstr>Label Encoding</vt:lpstr>
      <vt:lpstr>One-Hot Encoding</vt:lpstr>
      <vt:lpstr>Frequency Based Encoding</vt:lpstr>
      <vt:lpstr>Continuous VS Discrete</vt:lpstr>
      <vt:lpstr>Discretization Domain-Based</vt:lpstr>
      <vt:lpstr>Discretization Equal-Width</vt:lpstr>
      <vt:lpstr>Discretization Equal-Frequency</vt:lpstr>
      <vt:lpstr>Feature Splitting</vt:lpstr>
      <vt:lpstr>Feature Selection</vt:lpstr>
      <vt:lpstr>Feature Extraction</vt:lpstr>
      <vt:lpstr>Bag of Words</vt:lpstr>
      <vt:lpstr>Tokenization</vt:lpstr>
      <vt:lpstr>Stop Words</vt:lpstr>
      <vt:lpstr>Stemming</vt:lpstr>
      <vt:lpstr>Holdout Method</vt:lpstr>
      <vt:lpstr>k-Fold Cross Validation</vt:lpstr>
      <vt:lpstr>Leave-p-out Cross Validation</vt:lpstr>
      <vt:lpstr>Normal Linear Regression</vt:lpstr>
      <vt:lpstr>Cost Function Linear Regression</vt:lpstr>
      <vt:lpstr>Linear Regression - Project</vt:lpstr>
      <vt:lpstr>OLS vs Ridge vs Lasso</vt:lpstr>
      <vt:lpstr>Linear Regression Problem</vt:lpstr>
      <vt:lpstr>Linear Regression Shortcomings</vt:lpstr>
      <vt:lpstr>k-Nearest Neighbor</vt:lpstr>
      <vt:lpstr>k-Nearest Neighbor - Project</vt:lpstr>
      <vt:lpstr>Grid Search</vt:lpstr>
      <vt:lpstr>Randomized Search</vt:lpstr>
      <vt:lpstr>K-means Clustering</vt:lpstr>
      <vt:lpstr>ARIMA</vt:lpstr>
      <vt:lpstr>a</vt:lpstr>
      <vt:lpstr>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Teams A</cp:lastModifiedBy>
  <dcterms:created xsi:type="dcterms:W3CDTF">2015-06-05T18:17:20Z</dcterms:created>
  <dcterms:modified xsi:type="dcterms:W3CDTF">2026-10-28T17:53:51Z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2025-09-03T04:25:23Z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5dac5da3-29de-4b49-949e-25fd38301b10</vt:lpwstr>
  </property>
  <property fmtid="{D5CDD505-2E9C-101B-9397-08002B2CF9AE}" pid="7" name="MSIP_Label_defa4170-0d19-0005-0004-bc88714345d2_ActionId">
    <vt:lpwstr>4fb298cf-3c55-43fe-b189-92689a297b83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