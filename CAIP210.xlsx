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EA72D4D9-95AA-493F-BE32-0E7485203647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Confusion Matrix" sheetId="53" r:id="rId43"/>
    <sheet name="Grid Search" sheetId="46" r:id="rId44"/>
    <sheet name="Randomized Search" sheetId="47" r:id="rId45"/>
    <sheet name="K-means Clustering" sheetId="48" r:id="rId46"/>
    <sheet name="ARIMA" sheetId="49" r:id="rId47"/>
  </sheets>
  <externalReferences>
    <externalReference r:id="rId48"/>
  </externalReference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53" l="1"/>
  <c r="C9" i="53"/>
  <c r="E19" i="53" s="1"/>
  <c r="B9" i="53"/>
  <c r="C8" i="53"/>
  <c r="B8" i="53"/>
  <c r="G3" i="25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E22" i="53" l="1"/>
  <c r="D9" i="53"/>
  <c r="E21" i="53"/>
  <c r="C10" i="53"/>
  <c r="E17" i="53"/>
  <c r="E16" i="53"/>
  <c r="E18" i="53" s="1"/>
  <c r="B10" i="53"/>
  <c r="D8" i="53"/>
  <c r="D10" i="53" s="1"/>
  <c r="H4" i="25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E20" i="53" l="1"/>
  <c r="E15" i="53"/>
  <c r="H5" i="25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<sst xmlns="http://schemas.openxmlformats.org/spreadsheetml/2006/main" count="593" uniqueCount="385">
  <si>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</si>
  <si>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</si>
  <si>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</si>
  <si>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</si>
  <si>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</si>
  <si>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</si>
  <si>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</si>
  <si>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</si>
  <si>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</si>
  <si>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</si>
  <si>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</si>
  <si>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</si>
  <si>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</si>
  <si>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</si>
  <si>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</si>
  <si>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</si>
  <si>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</si>
  <si>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</si>
  <si>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</si>
  <si>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</si>
  <si>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</si>
  <si>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</si>
  <si>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</si>
  <si>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</si>
  <si>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</si>
  <si>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</si>
  <si>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</si>
  <si>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</si>
  <si>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</si>
  <si>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</si>
  <si>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</si>
  <si>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</si>
  <si>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</si>
  <si>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</si>
  <si>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</si>
  <si>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</si>
  <si>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</si>
  <si>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</si>
  <si>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</si>
  <si>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</si>
  <si>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</si>
  <si>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</si>
  <si>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</si>
  <si>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</si>
  <si>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</si>
  <si>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</si>
  <si>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</si>
  <si>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</si>
  <si>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</si>
  <si>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</si>
  <si>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</si>
  <si>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</si>
  <si>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</si>
  <si>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</si>
  <si>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</si>
  <si>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</si>
  <si>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</si>
  <si>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</si>
  <si>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</si>
  <si>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</si>
  <si>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</si>
  <si>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</si>
  <si>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</si>
  <si>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</si>
  <si>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</si>
  <si>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</si>
  <si>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</si>
  <si>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</si>
  <si>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</si>
  <si>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</si>
  <si>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</si>
  <si>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</si>
  <si>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</si>
  <si>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</si>
  <si>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</si>
  <si>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</si>
  <si>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</si>
  <si>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</si>
  <si>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</si>
  <si>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</si>
  <si>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</si>
  <si>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</si>
  <si>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</si>
  <si>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</si>
  <si>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</si>
  <si>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</si>
  <si>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</si>
  <si>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</si>
  <si>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</si>
  <si>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</si>
  <si>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</si>
  <si>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</si>
  <si>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</si>
  <si>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</si>
  <si>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</si>
  <si>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</si>
  <si>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</si>
  <si>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</si>
  <si>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</si>
  <si>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</si>
  <si>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</si>
  <si>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</si>
  <si>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</si>
  <si>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</si>
  <si>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</si>
  <si>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</si>
  <si>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</si>
  <si>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</si>
  <si>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</si>
  <si>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</si>
  <si>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</si>
  <si>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</si>
  <si>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</si>
  <si>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</si>
  <si>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</si>
  <si>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</si>
  <si>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</si>
  <si>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</si>
  <si>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</si>
  <si>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</si>
  <si>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</si>
  <si>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</si>
  <si>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</si>
  <si>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</si>
  <si>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</si>
  <si>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</si>
  <si>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</si>
  <si>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</si>
  <si>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</si>
  <si>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</si>
  <si>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</si>
  <si>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</si>
  <si>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</si>
  <si>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</si>
  <si>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</si>
  <si>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</si>
  <si>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</si>
  <si>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</si>
  <si>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</si>
  <si>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</si>
  <si>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</si>
  <si>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</si>
  <si>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</si>
  <si>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</si>
  <si>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</si>
  <si>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</si>
  <si>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</si>
  <si>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</si>
  <si>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</si>
  <si>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</si>
  <si>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</si>
  <si>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</si>
  <si>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</si>
  <si>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</si>
  <si>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</si>
  <si>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</si>
  <si>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</si>
  <si>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</si>
  <si>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</si>
  <si>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</si>
  <si>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</si>
  <si>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</si>
  <si>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</si>
  <si>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</si>
  <si>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</si>
  <si>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</si>
  <si>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</si>
  <si>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</si>
  <si>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</si>
  <si>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</si>
  <si>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</si>
  <si>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</si>
  <si>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</si>
  <si>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</si>
  <si>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</si>
  <si>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</si>
  <si>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</si>
  <si>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</si>
  <si>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</si>
  <si>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</si>
  <si>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</si>
  <si>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</si>
  <si>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</si>
  <si>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</si>
  <si>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</si>
  <si>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</si>
  <si>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</si>
  <si>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</si>
  <si>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</si>
  <si>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</si>
  <si>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</si>
  <si>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</si>
  <si>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</si>
  <si>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</si>
  <si>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</si>
  <si>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</si>
  <si>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</si>
  <si>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</si>
  <si>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</si>
  <si>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</si>
  <si>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</si>
  <si>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</si>
  <si>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</si>
  <si>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</si>
  <si>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</si>
  <si>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</si>
  <si>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</si>
  <si>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</si>
  <si>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</si>
  <si>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</si>
  <si>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</si>
  <si>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</si>
  <si>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</si>
  <si>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</si>
  <si>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</si>
  <si>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</si>
  <si>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</si>
  <si>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</si>
  <si>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</si>
  <si>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</si>
  <si>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</si>
  <si>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</si>
  <si>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</si>
  <si>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</si>
  <si>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</si>
  <si>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</si>
  <si>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</si>
  <si>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</si>
  <si>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</si>
  <si>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</si>
  <si>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</si>
  <si>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</si>
  <si>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</si>
  <si>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</si>
  <si>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</si>
  <si>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</si>
  <si>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</si>
  <si>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</si>
  <si>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</si>
  <si>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</si>
  <si>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</si>
  <si>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</si>
  <si>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</si>
  <si>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</si>
  <si>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</si>
  <si>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</si>
  <si>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</si>
  <si>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</si>
  <si>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</si>
  <si>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</si>
  <si>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</si>
  <si>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</si>
  <si>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</si>
  <si>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</si>
  <si>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</si>
  <si>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</si>
  <si>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</si>
  <si>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</si>
  <si>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</si>
  <si>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</si>
  <si>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</si>
  <si>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</si>
  <si>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</si>
  <si>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</si>
  <si>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</si>
  <si>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</si>
  <si>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</si>
  <si>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</si>
  <si>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</si>
  <si>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</si>
  <si>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</si>
  <si>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</si>
  <si>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</si>
  <si>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</si>
  <si>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</si>
  <si>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</si>
  <si>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</si>
  <si>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</si>
  <si>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</si>
  <si>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</si>
  <si>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</si>
  <si>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</si>
  <si>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</si>
  <si>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</si>
  <si>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</si>
  <si>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</si>
  <si>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</si>
  <si>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</si>
  <si>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</si>
  <si>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</si>
  <si>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</si>
  <si>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</si>
  <si>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</si>
  <si>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</si>
  <si>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</si>
  <si>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</si>
  <si>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</si>
  <si>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</si>
  <si>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</si>
  <si>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</si>
  <si>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</si>
  <si>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</si>
  <si>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</si>
  <si>
    <t>φ (AR Coefficient) [OLD: a (Slope)]</t>
  </si>
  <si>
    <t>c (Constant) [OLD: b (Intercept)]</t>
  </si>
  <si>
    <t>Evaluating a classifier: disease test on 1,000 patients</t>
  </si>
  <si>
    <t>Yellow = input. Change the threshold and every number updates. Patient-level data is on the 'Data' sheet; the ROC curve is on the 'ROC' sheet.</t>
  </si>
  <si>
    <t>Threshold (predict 'Sick' if probability ≥ threshold)</t>
  </si>
  <si>
    <t>Step 0 · Confusion matrix</t>
  </si>
  <si>
    <t>Predicted: Sick (1)</t>
  </si>
  <si>
    <t>Predicted: Healthy (0)</t>
  </si>
  <si>
    <t>Total</t>
  </si>
  <si>
    <t>Box</t>
  </si>
  <si>
    <t>Meaning</t>
  </si>
  <si>
    <t>Actually Sick (1)</t>
  </si>
  <si>
    <t>TP (B8)</t>
  </si>
  <si>
    <t>Sick and predicted sick: caught it ✓</t>
  </si>
  <si>
    <t>Actually Healthy (0)</t>
  </si>
  <si>
    <t>TN (C9)</t>
  </si>
  <si>
    <t>Healthy and predicted healthy: correctly cleared ✓</t>
  </si>
  <si>
    <t>FN (C8)</t>
  </si>
  <si>
    <t>Sick but predicted healthy: MISSED it ✗</t>
  </si>
  <si>
    <t>FP (B9)</t>
  </si>
  <si>
    <t>Healthy but predicted sick: FALSE ALARM ✗</t>
  </si>
  <si>
    <t>Metrics, in logical order</t>
  </si>
  <si>
    <t>#</t>
  </si>
  <si>
    <t>Metric</t>
  </si>
  <si>
    <t>Question it answers</t>
  </si>
  <si>
    <t>Better</t>
  </si>
  <si>
    <t>Problem it solves / when to use it</t>
  </si>
  <si>
    <t>1</t>
  </si>
  <si>
    <t>Accuracy</t>
  </si>
  <si>
    <t>How often is the model right overall?</t>
  </si>
  <si>
    <t>(TP + TN) ÷ Total</t>
  </si>
  <si>
    <t>0 to 1</t>
  </si>
  <si>
    <t>Higher ⬆</t>
  </si>
  <si>
    <t>Gives one overall score. ⚠ Misleading when classes are unbalanced: a model that always says 'Healthy' scores 99% here.</t>
  </si>
  <si>
    <t>2</t>
  </si>
  <si>
    <t>Precision</t>
  </si>
  <si>
    <t>When the model says 'Sick', how often is it right?</t>
  </si>
  <si>
    <t>TP ÷ (TP + FP)</t>
  </si>
  <si>
    <t>Measures FALSE ALARMS (FP). Use when false alarms are costly (spam filter, fraud freezes).</t>
  </si>
  <si>
    <t>3</t>
  </si>
  <si>
    <t>Recall (Sensitivity, TPR)</t>
  </si>
  <si>
    <t>Of all the truly sick, how many did we catch?</t>
  </si>
  <si>
    <t>TP ÷ (TP + FN)</t>
  </si>
  <si>
    <t>Measures MISSES (FN). Use when missing a case is dangerous (disease, fire, bridge collapse).</t>
  </si>
  <si>
    <t>4</t>
  </si>
  <si>
    <t>F1 score</t>
  </si>
  <si>
    <t>How well are precision and recall balanced?</t>
  </si>
  <si>
    <t>2 × P × R ÷ (P + R)</t>
  </si>
  <si>
    <t>Combines precision and recall in one number. Stays low if EITHER one is low, so one strong metric cannot hide a weak one.</t>
  </si>
  <si>
    <t>5</t>
  </si>
  <si>
    <t>Specificity (TNR)</t>
  </si>
  <si>
    <t>Of all the truly healthy, how many were cleared?</t>
  </si>
  <si>
    <t>TN ÷ (TN + FP)</t>
  </si>
  <si>
    <t>Recall for the NEGATIVE class. Use when wrongly flagging healthy people matters (drug tests, security screening).</t>
  </si>
  <si>
    <t>6</t>
  </si>
  <si>
    <t>Error rate</t>
  </si>
  <si>
    <t>How often is the model wrong overall?</t>
  </si>
  <si>
    <t>(FP + FN) ÷ Total  = 1 − Accuracy</t>
  </si>
  <si>
    <t>Lower ⬇</t>
  </si>
  <si>
    <t>The opposite of accuracy.</t>
  </si>
  <si>
    <t>7</t>
  </si>
  <si>
    <t>False Negative Rate (FNR)</t>
  </si>
  <si>
    <t>Of all the truly sick, how many did we miss?</t>
  </si>
  <si>
    <t>FN ÷ (TP + FN)  = 1 − Recall</t>
  </si>
  <si>
    <t>The opposite of recall: the share of sick patients missed.</t>
  </si>
  <si>
    <t>8</t>
  </si>
  <si>
    <t>False Positive Rate (FPR)</t>
  </si>
  <si>
    <t>Of all the truly healthy, how many got a false alarm?</t>
  </si>
  <si>
    <t>FP ÷ (FP + TN)  = 1 − Specificity</t>
  </si>
  <si>
    <t>The opposite of specificity. It is the X-axis of the ROC curve.</t>
  </si>
  <si>
    <t>9</t>
  </si>
  <si>
    <t>AUC (Area Under the ROC Curve)</t>
  </si>
  <si>
    <t>How well does the model rank sick patients above healthy ones, across ALL thresholds?</t>
  </si>
  <si>
    <t>Area under the ROC curve (see ROC sheet)</t>
  </si>
  <si>
    <t>0 to 1  (0.5 = random guessing)</t>
  </si>
  <si>
    <t>Does not depend on one threshold. 1.0 = perfect, 0.5 = coin flip, below 0.5 = worse than random.</t>
  </si>
  <si>
    <t>How to read the result (threshold 0.50)</t>
  </si>
  <si>
    <t>• Accuracy and specificity look excellent, but precision and F1 are low: the model raises too many false alarms.</t>
  </si>
  <si>
    <t>• Recall is good: most sick patients are caught.</t>
  </si>
  <si>
    <t>• Try a higher threshold (e.g. 0.70): precision rises, recall falls. Try a lower one (e.g. 0.30): recall rises, precision falls. That is the precision–recall trade-off.</t>
  </si>
  <si>
    <t>• The AUC summarizes the model across every possible threshold, which is why it is drawn from the ROC curve.</t>
  </si>
  <si>
    <t>Confusion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</si>
</sst>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0000"/>
    <numFmt numFmtId="165" formatCode="_-* #,##0_-;\-* #,##0_-;_-* &quot;-&quot;??_-;_-@_-"/>
    <numFmt numFmtId="166" formatCode="0.0%"/>
    <numFmt numFmtId="167" formatCode="0.00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1"/>
      <color rgb="FF595959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b/>
      <sz val="12"/>
      <name val="Arial"/>
      <family val="2"/>
    </font>
    <font>
      <b/>
      <sz val="11"/>
      <color rgb="FFFFFFFF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lightUp">
        <bgColor theme="0" tint="-0.499984740745262"/>
      </patternFill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</fills>
  <borders count="3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0" fontId="24" fillId="0" borderId="0"/>
  </cellStyleXfs>
  <cellXfs count="175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6" borderId="10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7" fillId="17" borderId="1" xfId="0" applyFont="1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1" fillId="0" borderId="0" xfId="5"/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  <xf numFmtId="0" fontId="7" fillId="9" borderId="1" xfId="0" applyFont="1" applyFill="1" applyBorder="1"/>
    <xf numFmtId="0" fontId="0" fillId="10" borderId="2" xfId="0" applyFill="1" applyBorder="1"/>
    <xf numFmtId="0" fontId="0" fillId="12" borderId="7" xfId="0" applyFill="1" applyBorder="1"/>
    <xf numFmtId="0" fontId="0" fillId="12" borderId="10" xfId="0" applyFill="1" applyBorder="1"/>
    <xf numFmtId="0" fontId="0" fillId="12" borderId="8" xfId="0" applyFill="1" applyBorder="1"/>
    <xf numFmtId="0" fontId="0" fillId="29" borderId="28" xfId="0" applyFill="1" applyBorder="1"/>
    <xf numFmtId="0" fontId="0" fillId="29" borderId="10" xfId="0" applyFill="1" applyBorder="1"/>
    <xf numFmtId="2" fontId="13" fillId="0" borderId="0" xfId="0" applyNumberFormat="1" applyFont="1" applyAlignment="1">
      <alignment vertical="center" wrapText="1"/>
    </xf>
    <xf numFmtId="0" fontId="0" fillId="9" borderId="9" xfId="0" applyFill="1" applyBorder="1"/>
    <xf numFmtId="0" fontId="0" fillId="11" borderId="6" xfId="0" applyFill="1" applyBorder="1"/>
    <xf numFmtId="0" fontId="0" fillId="10" borderId="10" xfId="0" applyFill="1" applyBorder="1"/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9" fillId="28" borderId="5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23" fillId="27" borderId="8" xfId="5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  <xf numFmtId="0" fontId="25" fillId="0" borderId="0" xfId="7" applyFont="1" applyAlignment="1">
      <alignment vertical="center"/>
    </xf>
    <xf numFmtId="0" fontId="24" fillId="0" borderId="0" xfId="7"/>
    <xf numFmtId="0" fontId="26" fillId="0" borderId="0" xfId="7" applyFont="1" applyAlignment="1">
      <alignment vertical="center"/>
    </xf>
    <xf numFmtId="0" fontId="27" fillId="0" borderId="32" xfId="7" applyFont="1" applyBorder="1" applyAlignment="1">
      <alignment vertical="center" wrapText="1"/>
    </xf>
    <xf numFmtId="2" fontId="28" fillId="30" borderId="32" xfId="7" applyNumberFormat="1" applyFont="1" applyFill="1" applyBorder="1" applyAlignment="1">
      <alignment horizontal="center" vertical="center" wrapText="1"/>
    </xf>
    <xf numFmtId="0" fontId="29" fillId="0" borderId="0" xfId="7" applyFont="1" applyAlignment="1">
      <alignment vertical="center"/>
    </xf>
    <xf numFmtId="0" fontId="30" fillId="31" borderId="32" xfId="7" applyFont="1" applyFill="1" applyBorder="1" applyAlignment="1">
      <alignment horizontal="center" vertical="center" wrapText="1"/>
    </xf>
    <xf numFmtId="0" fontId="30" fillId="31" borderId="32" xfId="7" applyFont="1" applyFill="1" applyBorder="1" applyAlignment="1">
      <alignment vertical="center" wrapText="1"/>
    </xf>
    <xf numFmtId="1" fontId="27" fillId="32" borderId="32" xfId="7" applyNumberFormat="1" applyFont="1" applyFill="1" applyBorder="1" applyAlignment="1">
      <alignment horizontal="center" vertical="center" wrapText="1"/>
    </xf>
    <xf numFmtId="1" fontId="27" fillId="33" borderId="32" xfId="7" applyNumberFormat="1" applyFont="1" applyFill="1" applyBorder="1" applyAlignment="1">
      <alignment horizontal="center" vertical="center" wrapText="1"/>
    </xf>
    <xf numFmtId="3" fontId="18" fillId="34" borderId="32" xfId="7" applyNumberFormat="1" applyFont="1" applyFill="1" applyBorder="1" applyAlignment="1">
      <alignment horizontal="center" vertical="center" wrapText="1"/>
    </xf>
    <xf numFmtId="0" fontId="18" fillId="0" borderId="32" xfId="7" applyFont="1" applyBorder="1" applyAlignment="1">
      <alignment vertical="center" wrapText="1"/>
    </xf>
    <xf numFmtId="0" fontId="18" fillId="0" borderId="32" xfId="7" applyFont="1" applyBorder="1" applyAlignment="1">
      <alignment horizontal="center" vertical="center" wrapText="1"/>
    </xf>
    <xf numFmtId="166" fontId="27" fillId="0" borderId="32" xfId="7" applyNumberFormat="1" applyFont="1" applyBorder="1" applyAlignment="1">
      <alignment horizontal="center" vertical="center" wrapText="1"/>
    </xf>
    <xf numFmtId="0" fontId="27" fillId="32" borderId="32" xfId="7" applyFont="1" applyFill="1" applyBorder="1" applyAlignment="1">
      <alignment horizontal="center" vertical="center" wrapText="1"/>
    </xf>
    <xf numFmtId="0" fontId="27" fillId="33" borderId="32" xfId="7" applyFont="1" applyFill="1" applyBorder="1" applyAlignment="1">
      <alignment horizontal="center" vertical="center" wrapText="1"/>
    </xf>
    <xf numFmtId="167" fontId="27" fillId="0" borderId="32" xfId="7" applyNumberFormat="1" applyFont="1" applyBorder="1" applyAlignment="1">
      <alignment horizontal="center" vertical="center" wrapText="1"/>
    </xf>
    <xf numFmtId="0" fontId="18" fillId="0" borderId="0" xfId="7" applyFont="1" applyAlignment="1">
      <alignment vertical="center"/>
    </xf>
  </cellXfs>
  <cellStyles count="8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Normal 4" xfId="7" xr:uid="{B420AF73-5B05-4F77-9FE9-E09FABFF80DE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oham\OneDrive\Desktop\Delete\28%2010%202026\Classification_Metrics_ROC_AUC.xlsx" TargetMode="External"/><Relationship Id="rId1" Type="http://schemas.openxmlformats.org/officeDocument/2006/relationships/externalLinkPath" Target="Delete/28%2010%202026/Classification_Metrics_ROC_AU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trics"/>
      <sheetName val="Data"/>
      <sheetName val="ROC"/>
    </sheetNames>
    <sheetDataSet>
      <sheetData sheetId="0"/>
      <sheetData sheetId="1">
        <row r="1">
          <cell r="B1" t="str">
            <v>Actual (1 = Sick, 0 = Healthy)</v>
          </cell>
          <cell r="C1" t="str">
            <v>Predicted probability of Sick</v>
          </cell>
        </row>
        <row r="2">
          <cell r="B2">
            <v>0</v>
          </cell>
          <cell r="C2">
            <v>0.2</v>
          </cell>
        </row>
        <row r="3">
          <cell r="B3">
            <v>0</v>
          </cell>
          <cell r="C3">
            <v>0.35</v>
          </cell>
        </row>
        <row r="4">
          <cell r="B4">
            <v>0</v>
          </cell>
          <cell r="C4">
            <v>0.05</v>
          </cell>
        </row>
        <row r="5">
          <cell r="B5">
            <v>0</v>
          </cell>
          <cell r="C5">
            <v>0.13</v>
          </cell>
        </row>
        <row r="6">
          <cell r="B6">
            <v>0</v>
          </cell>
          <cell r="C6">
            <v>0.06</v>
          </cell>
        </row>
        <row r="7">
          <cell r="B7">
            <v>0</v>
          </cell>
          <cell r="C7">
            <v>0.71</v>
          </cell>
        </row>
        <row r="8">
          <cell r="B8">
            <v>0</v>
          </cell>
          <cell r="C8">
            <v>0.18</v>
          </cell>
        </row>
        <row r="9">
          <cell r="B9">
            <v>0</v>
          </cell>
          <cell r="C9">
            <v>0.06</v>
          </cell>
        </row>
        <row r="10">
          <cell r="B10">
            <v>0</v>
          </cell>
          <cell r="C10">
            <v>0.03</v>
          </cell>
        </row>
        <row r="11">
          <cell r="B11">
            <v>0</v>
          </cell>
          <cell r="C11">
            <v>0.68</v>
          </cell>
        </row>
        <row r="12">
          <cell r="B12">
            <v>0</v>
          </cell>
          <cell r="C12">
            <v>0.28000000000000003</v>
          </cell>
        </row>
        <row r="13">
          <cell r="B13">
            <v>0</v>
          </cell>
          <cell r="C13">
            <v>0.15</v>
          </cell>
        </row>
        <row r="14">
          <cell r="B14">
            <v>0</v>
          </cell>
          <cell r="C14">
            <v>0.41</v>
          </cell>
        </row>
        <row r="15">
          <cell r="B15">
            <v>0</v>
          </cell>
          <cell r="C15">
            <v>0.27</v>
          </cell>
        </row>
        <row r="16">
          <cell r="B16">
            <v>0</v>
          </cell>
          <cell r="C16">
            <v>0.49</v>
          </cell>
        </row>
        <row r="17">
          <cell r="B17">
            <v>0</v>
          </cell>
          <cell r="C17">
            <v>0.26</v>
          </cell>
        </row>
        <row r="18">
          <cell r="B18">
            <v>0</v>
          </cell>
          <cell r="C18">
            <v>0.4</v>
          </cell>
        </row>
        <row r="19">
          <cell r="B19">
            <v>0</v>
          </cell>
          <cell r="C19">
            <v>0.41</v>
          </cell>
        </row>
        <row r="20">
          <cell r="B20">
            <v>0</v>
          </cell>
          <cell r="C20">
            <v>0.02</v>
          </cell>
        </row>
        <row r="21">
          <cell r="B21">
            <v>0</v>
          </cell>
          <cell r="C21">
            <v>0.11</v>
          </cell>
        </row>
        <row r="22">
          <cell r="B22">
            <v>0</v>
          </cell>
          <cell r="C22">
            <v>0.42</v>
          </cell>
        </row>
        <row r="23">
          <cell r="B23">
            <v>0</v>
          </cell>
          <cell r="C23">
            <v>7.0000000000000007E-2</v>
          </cell>
        </row>
        <row r="24">
          <cell r="B24">
            <v>0</v>
          </cell>
          <cell r="C24">
            <v>0.37</v>
          </cell>
        </row>
        <row r="25">
          <cell r="B25">
            <v>0</v>
          </cell>
          <cell r="C25">
            <v>7.0000000000000007E-2</v>
          </cell>
        </row>
        <row r="26">
          <cell r="B26">
            <v>0</v>
          </cell>
          <cell r="C26">
            <v>7.0000000000000007E-2</v>
          </cell>
        </row>
        <row r="27">
          <cell r="B27">
            <v>0</v>
          </cell>
          <cell r="C27">
            <v>0.19</v>
          </cell>
        </row>
        <row r="28">
          <cell r="B28">
            <v>0</v>
          </cell>
          <cell r="C28">
            <v>0.32</v>
          </cell>
        </row>
        <row r="29">
          <cell r="B29">
            <v>0</v>
          </cell>
          <cell r="C29">
            <v>0.27</v>
          </cell>
        </row>
        <row r="30">
          <cell r="B30">
            <v>0</v>
          </cell>
          <cell r="C30">
            <v>0.26</v>
          </cell>
        </row>
        <row r="31">
          <cell r="B31">
            <v>0</v>
          </cell>
          <cell r="C31">
            <v>0.05</v>
          </cell>
        </row>
        <row r="32">
          <cell r="B32">
            <v>0</v>
          </cell>
          <cell r="C32">
            <v>0.18</v>
          </cell>
        </row>
        <row r="33">
          <cell r="B33">
            <v>0</v>
          </cell>
          <cell r="C33">
            <v>0.09</v>
          </cell>
        </row>
        <row r="34">
          <cell r="B34">
            <v>0</v>
          </cell>
          <cell r="C34">
            <v>0.06</v>
          </cell>
        </row>
        <row r="35">
          <cell r="B35">
            <v>0</v>
          </cell>
          <cell r="C35">
            <v>0.12</v>
          </cell>
        </row>
        <row r="36">
          <cell r="B36">
            <v>0</v>
          </cell>
          <cell r="C36">
            <v>0.15</v>
          </cell>
        </row>
        <row r="37">
          <cell r="B37">
            <v>0</v>
          </cell>
          <cell r="C37">
            <v>0.24</v>
          </cell>
        </row>
        <row r="38">
          <cell r="B38">
            <v>0</v>
          </cell>
          <cell r="C38">
            <v>0.11</v>
          </cell>
        </row>
        <row r="39">
          <cell r="B39">
            <v>0</v>
          </cell>
          <cell r="C39">
            <v>0.26</v>
          </cell>
        </row>
        <row r="40">
          <cell r="B40">
            <v>0</v>
          </cell>
          <cell r="C40">
            <v>0.14000000000000001</v>
          </cell>
        </row>
        <row r="41">
          <cell r="B41">
            <v>0</v>
          </cell>
          <cell r="C41">
            <v>0.06</v>
          </cell>
        </row>
        <row r="42">
          <cell r="B42">
            <v>0</v>
          </cell>
          <cell r="C42">
            <v>0.3</v>
          </cell>
        </row>
        <row r="43">
          <cell r="B43">
            <v>0</v>
          </cell>
          <cell r="C43">
            <v>0.34</v>
          </cell>
        </row>
        <row r="44">
          <cell r="B44">
            <v>0</v>
          </cell>
          <cell r="C44">
            <v>0.25</v>
          </cell>
        </row>
        <row r="45">
          <cell r="B45">
            <v>0</v>
          </cell>
          <cell r="C45">
            <v>0.35</v>
          </cell>
        </row>
        <row r="46">
          <cell r="B46">
            <v>0</v>
          </cell>
          <cell r="C46">
            <v>0.26</v>
          </cell>
        </row>
        <row r="47">
          <cell r="B47">
            <v>0</v>
          </cell>
          <cell r="C47">
            <v>0.19</v>
          </cell>
        </row>
        <row r="48">
          <cell r="B48">
            <v>0</v>
          </cell>
          <cell r="C48">
            <v>0.39</v>
          </cell>
        </row>
        <row r="49">
          <cell r="B49">
            <v>0</v>
          </cell>
          <cell r="C49">
            <v>0.2</v>
          </cell>
        </row>
        <row r="50">
          <cell r="B50">
            <v>0</v>
          </cell>
          <cell r="C50">
            <v>0.22</v>
          </cell>
        </row>
        <row r="51">
          <cell r="B51">
            <v>0</v>
          </cell>
          <cell r="C51">
            <v>0.22</v>
          </cell>
        </row>
        <row r="52">
          <cell r="B52">
            <v>0</v>
          </cell>
          <cell r="C52">
            <v>0.06</v>
          </cell>
        </row>
        <row r="53">
          <cell r="B53">
            <v>0</v>
          </cell>
          <cell r="C53">
            <v>0.42</v>
          </cell>
        </row>
        <row r="54">
          <cell r="B54">
            <v>0</v>
          </cell>
          <cell r="C54">
            <v>0.42</v>
          </cell>
        </row>
        <row r="55">
          <cell r="B55">
            <v>0</v>
          </cell>
          <cell r="C55">
            <v>0.42</v>
          </cell>
        </row>
        <row r="56">
          <cell r="B56">
            <v>0</v>
          </cell>
          <cell r="C56">
            <v>0.28999999999999998</v>
          </cell>
        </row>
        <row r="57">
          <cell r="B57">
            <v>0</v>
          </cell>
          <cell r="C57">
            <v>0.23</v>
          </cell>
        </row>
        <row r="58">
          <cell r="B58">
            <v>0</v>
          </cell>
          <cell r="C58">
            <v>0.25</v>
          </cell>
        </row>
        <row r="59">
          <cell r="B59">
            <v>0</v>
          </cell>
          <cell r="C59">
            <v>0.25</v>
          </cell>
        </row>
        <row r="60">
          <cell r="B60">
            <v>0</v>
          </cell>
          <cell r="C60">
            <v>0.09</v>
          </cell>
        </row>
        <row r="61">
          <cell r="B61">
            <v>0</v>
          </cell>
          <cell r="C61">
            <v>0.28999999999999998</v>
          </cell>
        </row>
        <row r="62">
          <cell r="B62">
            <v>0</v>
          </cell>
          <cell r="C62">
            <v>0.46</v>
          </cell>
        </row>
        <row r="63">
          <cell r="B63">
            <v>0</v>
          </cell>
          <cell r="C63">
            <v>0.23</v>
          </cell>
        </row>
        <row r="64">
          <cell r="B64">
            <v>0</v>
          </cell>
          <cell r="C64">
            <v>0.49</v>
          </cell>
        </row>
        <row r="65">
          <cell r="B65">
            <v>0</v>
          </cell>
          <cell r="C65">
            <v>0.1</v>
          </cell>
        </row>
        <row r="66">
          <cell r="B66">
            <v>0</v>
          </cell>
          <cell r="C66">
            <v>0.28999999999999998</v>
          </cell>
        </row>
        <row r="67">
          <cell r="B67">
            <v>0</v>
          </cell>
          <cell r="C67">
            <v>0.2</v>
          </cell>
        </row>
        <row r="68">
          <cell r="B68">
            <v>0</v>
          </cell>
          <cell r="C68">
            <v>0.31</v>
          </cell>
        </row>
        <row r="69">
          <cell r="B69">
            <v>0</v>
          </cell>
          <cell r="C69">
            <v>0.03</v>
          </cell>
        </row>
        <row r="70">
          <cell r="B70">
            <v>0</v>
          </cell>
          <cell r="C70">
            <v>0.17</v>
          </cell>
        </row>
        <row r="71">
          <cell r="B71">
            <v>0</v>
          </cell>
          <cell r="C71">
            <v>0.47</v>
          </cell>
        </row>
        <row r="72">
          <cell r="B72">
            <v>0</v>
          </cell>
          <cell r="C72">
            <v>0.15</v>
          </cell>
        </row>
        <row r="73">
          <cell r="B73">
            <v>0</v>
          </cell>
          <cell r="C73">
            <v>0.49</v>
          </cell>
        </row>
        <row r="74">
          <cell r="B74">
            <v>0</v>
          </cell>
          <cell r="C74">
            <v>0.24</v>
          </cell>
        </row>
        <row r="75">
          <cell r="B75">
            <v>0</v>
          </cell>
          <cell r="C75">
            <v>0.1</v>
          </cell>
        </row>
        <row r="76">
          <cell r="B76">
            <v>0</v>
          </cell>
          <cell r="C76">
            <v>0.1</v>
          </cell>
        </row>
        <row r="77">
          <cell r="B77">
            <v>0</v>
          </cell>
          <cell r="C77">
            <v>0.3</v>
          </cell>
        </row>
        <row r="78">
          <cell r="B78">
            <v>0</v>
          </cell>
          <cell r="C78">
            <v>0.49</v>
          </cell>
        </row>
        <row r="79">
          <cell r="B79">
            <v>0</v>
          </cell>
          <cell r="C79">
            <v>0.08</v>
          </cell>
        </row>
        <row r="80">
          <cell r="B80">
            <v>0</v>
          </cell>
          <cell r="C80">
            <v>0.11</v>
          </cell>
        </row>
        <row r="81">
          <cell r="B81">
            <v>0</v>
          </cell>
          <cell r="C81">
            <v>0.06</v>
          </cell>
        </row>
        <row r="82">
          <cell r="B82">
            <v>0</v>
          </cell>
          <cell r="C82">
            <v>0.17</v>
          </cell>
        </row>
        <row r="83">
          <cell r="B83">
            <v>0</v>
          </cell>
          <cell r="C83">
            <v>0.22</v>
          </cell>
        </row>
        <row r="84">
          <cell r="B84">
            <v>0</v>
          </cell>
          <cell r="C84">
            <v>0.05</v>
          </cell>
        </row>
        <row r="85">
          <cell r="B85">
            <v>0</v>
          </cell>
          <cell r="C85">
            <v>0.19</v>
          </cell>
        </row>
        <row r="86">
          <cell r="B86">
            <v>0</v>
          </cell>
          <cell r="C86">
            <v>0.14000000000000001</v>
          </cell>
        </row>
        <row r="87">
          <cell r="B87">
            <v>0</v>
          </cell>
          <cell r="C87">
            <v>0.33</v>
          </cell>
        </row>
        <row r="88">
          <cell r="B88">
            <v>0</v>
          </cell>
          <cell r="C88">
            <v>0.28999999999999998</v>
          </cell>
        </row>
        <row r="89">
          <cell r="B89">
            <v>0</v>
          </cell>
          <cell r="C89">
            <v>0.27</v>
          </cell>
        </row>
        <row r="90">
          <cell r="B90">
            <v>0</v>
          </cell>
          <cell r="C90">
            <v>0.49</v>
          </cell>
        </row>
        <row r="91">
          <cell r="B91">
            <v>0</v>
          </cell>
          <cell r="C91">
            <v>0.24</v>
          </cell>
        </row>
        <row r="92">
          <cell r="B92">
            <v>0</v>
          </cell>
          <cell r="C92">
            <v>0.19</v>
          </cell>
        </row>
        <row r="93">
          <cell r="B93">
            <v>0</v>
          </cell>
          <cell r="C93">
            <v>0.44</v>
          </cell>
        </row>
        <row r="94">
          <cell r="B94">
            <v>0</v>
          </cell>
          <cell r="C94">
            <v>0.2</v>
          </cell>
        </row>
        <row r="95">
          <cell r="B95">
            <v>0</v>
          </cell>
          <cell r="C95">
            <v>0.42</v>
          </cell>
        </row>
        <row r="96">
          <cell r="B96">
            <v>0</v>
          </cell>
          <cell r="C96">
            <v>0.45</v>
          </cell>
        </row>
        <row r="97">
          <cell r="B97">
            <v>0</v>
          </cell>
          <cell r="C97">
            <v>0.27</v>
          </cell>
        </row>
        <row r="98">
          <cell r="B98">
            <v>0</v>
          </cell>
          <cell r="C98">
            <v>0.39</v>
          </cell>
        </row>
        <row r="99">
          <cell r="B99">
            <v>0</v>
          </cell>
          <cell r="C99">
            <v>0.15</v>
          </cell>
        </row>
        <row r="100">
          <cell r="B100">
            <v>0</v>
          </cell>
          <cell r="C100">
            <v>0.24</v>
          </cell>
        </row>
        <row r="101">
          <cell r="B101">
            <v>0</v>
          </cell>
          <cell r="C101">
            <v>0.24</v>
          </cell>
        </row>
        <row r="102">
          <cell r="B102">
            <v>0</v>
          </cell>
          <cell r="C102">
            <v>0.1</v>
          </cell>
        </row>
        <row r="103">
          <cell r="B103">
            <v>0</v>
          </cell>
          <cell r="C103">
            <v>0.01</v>
          </cell>
        </row>
        <row r="104">
          <cell r="B104">
            <v>0</v>
          </cell>
          <cell r="C104">
            <v>0.11</v>
          </cell>
        </row>
        <row r="105">
          <cell r="B105">
            <v>0</v>
          </cell>
          <cell r="C105">
            <v>0.26</v>
          </cell>
        </row>
        <row r="106">
          <cell r="B106">
            <v>0</v>
          </cell>
          <cell r="C106">
            <v>0.23</v>
          </cell>
        </row>
        <row r="107">
          <cell r="B107">
            <v>1</v>
          </cell>
          <cell r="C107">
            <v>0.95</v>
          </cell>
        </row>
        <row r="108">
          <cell r="B108">
            <v>0</v>
          </cell>
          <cell r="C108">
            <v>0.24</v>
          </cell>
        </row>
        <row r="109">
          <cell r="B109">
            <v>0</v>
          </cell>
          <cell r="C109">
            <v>7.0000000000000007E-2</v>
          </cell>
        </row>
        <row r="110">
          <cell r="B110">
            <v>0</v>
          </cell>
          <cell r="C110">
            <v>0.2</v>
          </cell>
        </row>
        <row r="111">
          <cell r="B111">
            <v>0</v>
          </cell>
          <cell r="C111">
            <v>0.5</v>
          </cell>
        </row>
        <row r="112">
          <cell r="B112">
            <v>0</v>
          </cell>
          <cell r="C112">
            <v>0.17</v>
          </cell>
        </row>
        <row r="113">
          <cell r="B113">
            <v>0</v>
          </cell>
          <cell r="C113">
            <v>0.06</v>
          </cell>
        </row>
        <row r="114">
          <cell r="B114">
            <v>0</v>
          </cell>
          <cell r="C114">
            <v>0.21</v>
          </cell>
        </row>
        <row r="115">
          <cell r="B115">
            <v>0</v>
          </cell>
          <cell r="C115">
            <v>7.0000000000000007E-2</v>
          </cell>
        </row>
        <row r="116">
          <cell r="B116">
            <v>0</v>
          </cell>
          <cell r="C116">
            <v>0.45</v>
          </cell>
        </row>
        <row r="117">
          <cell r="B117">
            <v>0</v>
          </cell>
          <cell r="C117">
            <v>0.49</v>
          </cell>
        </row>
        <row r="118">
          <cell r="B118">
            <v>0</v>
          </cell>
          <cell r="C118">
            <v>0.49</v>
          </cell>
        </row>
        <row r="119">
          <cell r="B119">
            <v>0</v>
          </cell>
          <cell r="C119">
            <v>0.25</v>
          </cell>
        </row>
        <row r="120">
          <cell r="B120">
            <v>0</v>
          </cell>
          <cell r="C120">
            <v>0.49</v>
          </cell>
        </row>
        <row r="121">
          <cell r="B121">
            <v>0</v>
          </cell>
          <cell r="C121">
            <v>0.06</v>
          </cell>
        </row>
        <row r="122">
          <cell r="B122">
            <v>0</v>
          </cell>
          <cell r="C122">
            <v>0.37</v>
          </cell>
        </row>
        <row r="123">
          <cell r="B123">
            <v>0</v>
          </cell>
          <cell r="C123">
            <v>0.01</v>
          </cell>
        </row>
        <row r="124">
          <cell r="B124">
            <v>0</v>
          </cell>
          <cell r="C124">
            <v>0.1</v>
          </cell>
        </row>
        <row r="125">
          <cell r="B125">
            <v>0</v>
          </cell>
          <cell r="C125">
            <v>0.25</v>
          </cell>
        </row>
        <row r="126">
          <cell r="B126">
            <v>0</v>
          </cell>
          <cell r="C126">
            <v>7.0000000000000007E-2</v>
          </cell>
        </row>
        <row r="127">
          <cell r="B127">
            <v>0</v>
          </cell>
          <cell r="C127">
            <v>0.11</v>
          </cell>
        </row>
        <row r="128">
          <cell r="B128">
            <v>0</v>
          </cell>
          <cell r="C128">
            <v>0.28999999999999998</v>
          </cell>
        </row>
        <row r="129">
          <cell r="B129">
            <v>0</v>
          </cell>
          <cell r="C129">
            <v>0.19</v>
          </cell>
        </row>
        <row r="130">
          <cell r="B130">
            <v>0</v>
          </cell>
          <cell r="C130">
            <v>0.28000000000000003</v>
          </cell>
        </row>
        <row r="131">
          <cell r="B131">
            <v>0</v>
          </cell>
          <cell r="C131">
            <v>0.26</v>
          </cell>
        </row>
        <row r="132">
          <cell r="B132">
            <v>0</v>
          </cell>
          <cell r="C132">
            <v>0.32</v>
          </cell>
        </row>
        <row r="133">
          <cell r="B133">
            <v>0</v>
          </cell>
          <cell r="C133">
            <v>0.01</v>
          </cell>
        </row>
        <row r="134">
          <cell r="B134">
            <v>0</v>
          </cell>
          <cell r="C134">
            <v>0.12</v>
          </cell>
        </row>
        <row r="135">
          <cell r="B135">
            <v>0</v>
          </cell>
          <cell r="C135">
            <v>0.17</v>
          </cell>
        </row>
        <row r="136">
          <cell r="B136">
            <v>0</v>
          </cell>
          <cell r="C136">
            <v>0.12</v>
          </cell>
        </row>
        <row r="137">
          <cell r="B137">
            <v>0</v>
          </cell>
          <cell r="C137">
            <v>0.12</v>
          </cell>
        </row>
        <row r="138">
          <cell r="B138">
            <v>0</v>
          </cell>
          <cell r="C138">
            <v>0.15</v>
          </cell>
        </row>
        <row r="139">
          <cell r="B139">
            <v>0</v>
          </cell>
          <cell r="C139">
            <v>0.22</v>
          </cell>
        </row>
        <row r="140">
          <cell r="B140">
            <v>0</v>
          </cell>
          <cell r="C140">
            <v>0.22</v>
          </cell>
        </row>
        <row r="141">
          <cell r="B141">
            <v>0</v>
          </cell>
          <cell r="C141">
            <v>0.45</v>
          </cell>
        </row>
        <row r="142">
          <cell r="B142">
            <v>0</v>
          </cell>
          <cell r="C142">
            <v>0.18</v>
          </cell>
        </row>
        <row r="143">
          <cell r="B143">
            <v>0</v>
          </cell>
          <cell r="C143">
            <v>0.66</v>
          </cell>
        </row>
        <row r="144">
          <cell r="B144">
            <v>0</v>
          </cell>
          <cell r="C144">
            <v>0.14000000000000001</v>
          </cell>
        </row>
        <row r="145">
          <cell r="B145">
            <v>0</v>
          </cell>
          <cell r="C145">
            <v>0.1</v>
          </cell>
        </row>
        <row r="146">
          <cell r="B146">
            <v>0</v>
          </cell>
          <cell r="C146">
            <v>0.34</v>
          </cell>
        </row>
        <row r="147">
          <cell r="B147">
            <v>0</v>
          </cell>
          <cell r="C147">
            <v>0.12</v>
          </cell>
        </row>
        <row r="148">
          <cell r="B148">
            <v>0</v>
          </cell>
          <cell r="C148">
            <v>0.05</v>
          </cell>
        </row>
        <row r="149">
          <cell r="B149">
            <v>0</v>
          </cell>
          <cell r="C149">
            <v>0.1</v>
          </cell>
        </row>
        <row r="150">
          <cell r="B150">
            <v>0</v>
          </cell>
          <cell r="C150">
            <v>0.19</v>
          </cell>
        </row>
        <row r="151">
          <cell r="B151">
            <v>0</v>
          </cell>
          <cell r="C151">
            <v>0.26</v>
          </cell>
        </row>
        <row r="152">
          <cell r="B152">
            <v>0</v>
          </cell>
          <cell r="C152">
            <v>0.19</v>
          </cell>
        </row>
        <row r="153">
          <cell r="B153">
            <v>0</v>
          </cell>
          <cell r="C153">
            <v>0.46</v>
          </cell>
        </row>
        <row r="154">
          <cell r="B154">
            <v>0</v>
          </cell>
          <cell r="C154">
            <v>0.39</v>
          </cell>
        </row>
        <row r="155">
          <cell r="B155">
            <v>0</v>
          </cell>
          <cell r="C155">
            <v>0.13</v>
          </cell>
        </row>
        <row r="156">
          <cell r="B156">
            <v>1</v>
          </cell>
          <cell r="C156">
            <v>0.91</v>
          </cell>
        </row>
        <row r="157">
          <cell r="B157">
            <v>0</v>
          </cell>
          <cell r="C157">
            <v>0.2</v>
          </cell>
        </row>
        <row r="158">
          <cell r="B158">
            <v>0</v>
          </cell>
          <cell r="C158">
            <v>0.06</v>
          </cell>
        </row>
        <row r="159">
          <cell r="B159">
            <v>0</v>
          </cell>
          <cell r="C159">
            <v>0.06</v>
          </cell>
        </row>
        <row r="160">
          <cell r="B160">
            <v>0</v>
          </cell>
          <cell r="C160">
            <v>0.59</v>
          </cell>
        </row>
        <row r="161">
          <cell r="B161">
            <v>0</v>
          </cell>
          <cell r="C161">
            <v>0.44</v>
          </cell>
        </row>
        <row r="162">
          <cell r="B162">
            <v>0</v>
          </cell>
          <cell r="C162">
            <v>0.05</v>
          </cell>
        </row>
        <row r="163">
          <cell r="B163">
            <v>0</v>
          </cell>
          <cell r="C163">
            <v>0.08</v>
          </cell>
        </row>
        <row r="164">
          <cell r="B164">
            <v>0</v>
          </cell>
          <cell r="C164">
            <v>0.11</v>
          </cell>
        </row>
        <row r="165">
          <cell r="B165">
            <v>0</v>
          </cell>
          <cell r="C165">
            <v>0.31</v>
          </cell>
        </row>
        <row r="166">
          <cell r="B166">
            <v>0</v>
          </cell>
          <cell r="C166">
            <v>0.43</v>
          </cell>
        </row>
        <row r="167">
          <cell r="B167">
            <v>0</v>
          </cell>
          <cell r="C167">
            <v>0.49</v>
          </cell>
        </row>
        <row r="168">
          <cell r="B168">
            <v>0</v>
          </cell>
          <cell r="C168">
            <v>0.09</v>
          </cell>
        </row>
        <row r="169">
          <cell r="B169">
            <v>0</v>
          </cell>
          <cell r="C169">
            <v>0.42</v>
          </cell>
        </row>
        <row r="170">
          <cell r="B170">
            <v>0</v>
          </cell>
          <cell r="C170">
            <v>0.32</v>
          </cell>
        </row>
        <row r="171">
          <cell r="B171">
            <v>0</v>
          </cell>
          <cell r="C171">
            <v>0.23</v>
          </cell>
        </row>
        <row r="172">
          <cell r="B172">
            <v>0</v>
          </cell>
          <cell r="C172">
            <v>0.11</v>
          </cell>
        </row>
        <row r="173">
          <cell r="B173">
            <v>0</v>
          </cell>
          <cell r="C173">
            <v>0.09</v>
          </cell>
        </row>
        <row r="174">
          <cell r="B174">
            <v>0</v>
          </cell>
          <cell r="C174">
            <v>0.12</v>
          </cell>
        </row>
        <row r="175">
          <cell r="B175">
            <v>0</v>
          </cell>
          <cell r="C175">
            <v>0.46</v>
          </cell>
        </row>
        <row r="176">
          <cell r="B176">
            <v>0</v>
          </cell>
          <cell r="C176">
            <v>0.34</v>
          </cell>
        </row>
        <row r="177">
          <cell r="B177">
            <v>0</v>
          </cell>
          <cell r="C177">
            <v>0.11</v>
          </cell>
        </row>
        <row r="178">
          <cell r="B178">
            <v>0</v>
          </cell>
          <cell r="C178">
            <v>0.32</v>
          </cell>
        </row>
        <row r="179">
          <cell r="B179">
            <v>0</v>
          </cell>
          <cell r="C179">
            <v>0.31</v>
          </cell>
        </row>
        <row r="180">
          <cell r="B180">
            <v>0</v>
          </cell>
          <cell r="C180">
            <v>0.2</v>
          </cell>
        </row>
        <row r="181">
          <cell r="B181">
            <v>0</v>
          </cell>
          <cell r="C181">
            <v>0.06</v>
          </cell>
        </row>
        <row r="182">
          <cell r="B182">
            <v>0</v>
          </cell>
          <cell r="C182">
            <v>0.15</v>
          </cell>
        </row>
        <row r="183">
          <cell r="B183">
            <v>0</v>
          </cell>
          <cell r="C183">
            <v>0.04</v>
          </cell>
        </row>
        <row r="184">
          <cell r="B184">
            <v>0</v>
          </cell>
          <cell r="C184">
            <v>0.84</v>
          </cell>
        </row>
        <row r="185">
          <cell r="B185">
            <v>0</v>
          </cell>
          <cell r="C185">
            <v>0.28000000000000003</v>
          </cell>
        </row>
        <row r="186">
          <cell r="B186">
            <v>0</v>
          </cell>
          <cell r="C186">
            <v>0.2</v>
          </cell>
        </row>
        <row r="187">
          <cell r="B187">
            <v>0</v>
          </cell>
          <cell r="C187">
            <v>0.25</v>
          </cell>
        </row>
        <row r="188">
          <cell r="B188">
            <v>0</v>
          </cell>
          <cell r="C188">
            <v>0.3</v>
          </cell>
        </row>
        <row r="189">
          <cell r="B189">
            <v>0</v>
          </cell>
          <cell r="C189">
            <v>0.23</v>
          </cell>
        </row>
        <row r="190">
          <cell r="B190">
            <v>0</v>
          </cell>
          <cell r="C190">
            <v>0.01</v>
          </cell>
        </row>
        <row r="191">
          <cell r="B191">
            <v>0</v>
          </cell>
          <cell r="C191">
            <v>0.1</v>
          </cell>
        </row>
        <row r="192">
          <cell r="B192">
            <v>0</v>
          </cell>
          <cell r="C192">
            <v>7.0000000000000007E-2</v>
          </cell>
        </row>
        <row r="193">
          <cell r="B193">
            <v>0</v>
          </cell>
          <cell r="C193">
            <v>0.05</v>
          </cell>
        </row>
        <row r="194">
          <cell r="B194">
            <v>0</v>
          </cell>
          <cell r="C194">
            <v>0.47</v>
          </cell>
        </row>
        <row r="195">
          <cell r="B195">
            <v>0</v>
          </cell>
          <cell r="C195">
            <v>0.17</v>
          </cell>
        </row>
        <row r="196">
          <cell r="B196">
            <v>0</v>
          </cell>
          <cell r="C196">
            <v>0.18</v>
          </cell>
        </row>
        <row r="197">
          <cell r="B197">
            <v>0</v>
          </cell>
          <cell r="C197">
            <v>0.28999999999999998</v>
          </cell>
        </row>
        <row r="198">
          <cell r="B198">
            <v>0</v>
          </cell>
          <cell r="C198">
            <v>0.1</v>
          </cell>
        </row>
        <row r="199">
          <cell r="B199">
            <v>0</v>
          </cell>
          <cell r="C199">
            <v>0.12</v>
          </cell>
        </row>
        <row r="200">
          <cell r="B200">
            <v>0</v>
          </cell>
          <cell r="C200">
            <v>0.14000000000000001</v>
          </cell>
        </row>
        <row r="201">
          <cell r="B201">
            <v>0</v>
          </cell>
          <cell r="C201">
            <v>7.0000000000000007E-2</v>
          </cell>
        </row>
        <row r="202">
          <cell r="B202">
            <v>0</v>
          </cell>
          <cell r="C202">
            <v>0.25</v>
          </cell>
        </row>
        <row r="203">
          <cell r="B203">
            <v>0</v>
          </cell>
          <cell r="C203">
            <v>0.55000000000000004</v>
          </cell>
        </row>
        <row r="204">
          <cell r="B204">
            <v>0</v>
          </cell>
          <cell r="C204">
            <v>0.23</v>
          </cell>
        </row>
        <row r="205">
          <cell r="B205">
            <v>0</v>
          </cell>
          <cell r="C205">
            <v>0.38</v>
          </cell>
        </row>
        <row r="206">
          <cell r="B206">
            <v>0</v>
          </cell>
          <cell r="C206">
            <v>0.04</v>
          </cell>
        </row>
        <row r="207">
          <cell r="B207">
            <v>0</v>
          </cell>
          <cell r="C207">
            <v>0.26</v>
          </cell>
        </row>
        <row r="208">
          <cell r="B208">
            <v>0</v>
          </cell>
          <cell r="C208">
            <v>0.13</v>
          </cell>
        </row>
        <row r="209">
          <cell r="B209">
            <v>0</v>
          </cell>
          <cell r="C209">
            <v>0.4</v>
          </cell>
        </row>
        <row r="210">
          <cell r="B210">
            <v>0</v>
          </cell>
          <cell r="C210">
            <v>0.71</v>
          </cell>
        </row>
        <row r="211">
          <cell r="B211">
            <v>0</v>
          </cell>
          <cell r="C211">
            <v>0.05</v>
          </cell>
        </row>
        <row r="212">
          <cell r="B212">
            <v>0</v>
          </cell>
          <cell r="C212">
            <v>0.32</v>
          </cell>
        </row>
        <row r="213">
          <cell r="B213">
            <v>0</v>
          </cell>
          <cell r="C213">
            <v>0.49</v>
          </cell>
        </row>
        <row r="214">
          <cell r="B214">
            <v>0</v>
          </cell>
          <cell r="C214">
            <v>0.13</v>
          </cell>
        </row>
        <row r="215">
          <cell r="B215">
            <v>0</v>
          </cell>
          <cell r="C215">
            <v>0.2</v>
          </cell>
        </row>
        <row r="216">
          <cell r="B216">
            <v>0</v>
          </cell>
          <cell r="C216">
            <v>0.11</v>
          </cell>
        </row>
        <row r="217">
          <cell r="B217">
            <v>0</v>
          </cell>
          <cell r="C217">
            <v>0.35</v>
          </cell>
        </row>
        <row r="218">
          <cell r="B218">
            <v>0</v>
          </cell>
          <cell r="C218">
            <v>0.44</v>
          </cell>
        </row>
        <row r="219">
          <cell r="B219">
            <v>0</v>
          </cell>
          <cell r="C219">
            <v>0.19</v>
          </cell>
        </row>
        <row r="220">
          <cell r="B220">
            <v>0</v>
          </cell>
          <cell r="C220">
            <v>0.35</v>
          </cell>
        </row>
        <row r="221">
          <cell r="B221">
            <v>0</v>
          </cell>
          <cell r="C221">
            <v>0.16</v>
          </cell>
        </row>
        <row r="222">
          <cell r="B222">
            <v>0</v>
          </cell>
          <cell r="C222">
            <v>0.24</v>
          </cell>
        </row>
        <row r="223">
          <cell r="B223">
            <v>0</v>
          </cell>
          <cell r="C223">
            <v>0.42</v>
          </cell>
        </row>
        <row r="224">
          <cell r="B224">
            <v>0</v>
          </cell>
          <cell r="C224">
            <v>0.21</v>
          </cell>
        </row>
        <row r="225">
          <cell r="B225">
            <v>0</v>
          </cell>
          <cell r="C225">
            <v>0.04</v>
          </cell>
        </row>
        <row r="226">
          <cell r="B226">
            <v>0</v>
          </cell>
          <cell r="C226">
            <v>0.02</v>
          </cell>
        </row>
        <row r="227">
          <cell r="B227">
            <v>0</v>
          </cell>
          <cell r="C227">
            <v>0.42</v>
          </cell>
        </row>
        <row r="228">
          <cell r="B228">
            <v>0</v>
          </cell>
          <cell r="C228">
            <v>0.06</v>
          </cell>
        </row>
        <row r="229">
          <cell r="B229">
            <v>0</v>
          </cell>
          <cell r="C229">
            <v>0.16</v>
          </cell>
        </row>
        <row r="230">
          <cell r="B230">
            <v>0</v>
          </cell>
          <cell r="C230">
            <v>0.32</v>
          </cell>
        </row>
        <row r="231">
          <cell r="B231">
            <v>0</v>
          </cell>
          <cell r="C231">
            <v>0.18</v>
          </cell>
        </row>
        <row r="232">
          <cell r="B232">
            <v>0</v>
          </cell>
          <cell r="C232">
            <v>0.22</v>
          </cell>
        </row>
        <row r="233">
          <cell r="B233">
            <v>0</v>
          </cell>
          <cell r="C233">
            <v>0.49</v>
          </cell>
        </row>
        <row r="234">
          <cell r="B234">
            <v>0</v>
          </cell>
          <cell r="C234">
            <v>0.15</v>
          </cell>
        </row>
        <row r="235">
          <cell r="B235">
            <v>0</v>
          </cell>
          <cell r="C235">
            <v>0.11</v>
          </cell>
        </row>
        <row r="236">
          <cell r="B236">
            <v>0</v>
          </cell>
          <cell r="C236">
            <v>0.06</v>
          </cell>
        </row>
        <row r="237">
          <cell r="B237">
            <v>0</v>
          </cell>
          <cell r="C237">
            <v>0.08</v>
          </cell>
        </row>
        <row r="238">
          <cell r="B238">
            <v>0</v>
          </cell>
          <cell r="C238">
            <v>0.02</v>
          </cell>
        </row>
        <row r="239">
          <cell r="B239">
            <v>0</v>
          </cell>
          <cell r="C239">
            <v>0.08</v>
          </cell>
        </row>
        <row r="240">
          <cell r="B240">
            <v>0</v>
          </cell>
          <cell r="C240">
            <v>0.1</v>
          </cell>
        </row>
        <row r="241">
          <cell r="B241">
            <v>0</v>
          </cell>
          <cell r="C241">
            <v>0.21</v>
          </cell>
        </row>
        <row r="242">
          <cell r="B242">
            <v>0</v>
          </cell>
          <cell r="C242">
            <v>0.34</v>
          </cell>
        </row>
        <row r="243">
          <cell r="B243">
            <v>0</v>
          </cell>
          <cell r="C243">
            <v>0.35</v>
          </cell>
        </row>
        <row r="244">
          <cell r="B244">
            <v>0</v>
          </cell>
          <cell r="C244">
            <v>0.34</v>
          </cell>
        </row>
        <row r="245">
          <cell r="B245">
            <v>0</v>
          </cell>
          <cell r="C245">
            <v>0.27</v>
          </cell>
        </row>
        <row r="246">
          <cell r="B246">
            <v>0</v>
          </cell>
          <cell r="C246">
            <v>0.14000000000000001</v>
          </cell>
        </row>
        <row r="247">
          <cell r="B247">
            <v>0</v>
          </cell>
          <cell r="C247">
            <v>0.28999999999999998</v>
          </cell>
        </row>
        <row r="248">
          <cell r="B248">
            <v>0</v>
          </cell>
          <cell r="C248">
            <v>0.02</v>
          </cell>
        </row>
        <row r="249">
          <cell r="B249">
            <v>0</v>
          </cell>
          <cell r="C249">
            <v>0.11</v>
          </cell>
        </row>
        <row r="250">
          <cell r="B250">
            <v>0</v>
          </cell>
          <cell r="C250">
            <v>7.0000000000000007E-2</v>
          </cell>
        </row>
        <row r="251">
          <cell r="B251">
            <v>0</v>
          </cell>
          <cell r="C251">
            <v>7.0000000000000007E-2</v>
          </cell>
        </row>
        <row r="252">
          <cell r="B252">
            <v>0</v>
          </cell>
          <cell r="C252">
            <v>0.1</v>
          </cell>
        </row>
        <row r="253">
          <cell r="B253">
            <v>1</v>
          </cell>
          <cell r="C253">
            <v>0.86</v>
          </cell>
        </row>
        <row r="254">
          <cell r="B254">
            <v>0</v>
          </cell>
          <cell r="C254">
            <v>0.37</v>
          </cell>
        </row>
        <row r="255">
          <cell r="B255">
            <v>0</v>
          </cell>
          <cell r="C255">
            <v>0.27</v>
          </cell>
        </row>
        <row r="256">
          <cell r="B256">
            <v>0</v>
          </cell>
          <cell r="C256">
            <v>0.13</v>
          </cell>
        </row>
        <row r="257">
          <cell r="B257">
            <v>0</v>
          </cell>
          <cell r="C257">
            <v>0.15</v>
          </cell>
        </row>
        <row r="258">
          <cell r="B258">
            <v>0</v>
          </cell>
          <cell r="C258">
            <v>0.45</v>
          </cell>
        </row>
        <row r="259">
          <cell r="B259">
            <v>0</v>
          </cell>
          <cell r="C259">
            <v>0.05</v>
          </cell>
        </row>
        <row r="260">
          <cell r="B260">
            <v>0</v>
          </cell>
          <cell r="C260">
            <v>0.11</v>
          </cell>
        </row>
        <row r="261">
          <cell r="B261">
            <v>0</v>
          </cell>
          <cell r="C261">
            <v>0.49</v>
          </cell>
        </row>
        <row r="262">
          <cell r="B262">
            <v>0</v>
          </cell>
          <cell r="C262">
            <v>0.23</v>
          </cell>
        </row>
        <row r="263">
          <cell r="B263">
            <v>0</v>
          </cell>
          <cell r="C263">
            <v>0.35</v>
          </cell>
        </row>
        <row r="264">
          <cell r="B264">
            <v>0</v>
          </cell>
          <cell r="C264">
            <v>0.47</v>
          </cell>
        </row>
        <row r="265">
          <cell r="B265">
            <v>0</v>
          </cell>
          <cell r="C265">
            <v>0.2</v>
          </cell>
        </row>
        <row r="266">
          <cell r="B266">
            <v>0</v>
          </cell>
          <cell r="C266">
            <v>0.01</v>
          </cell>
        </row>
        <row r="267">
          <cell r="B267">
            <v>0</v>
          </cell>
          <cell r="C267">
            <v>0.24</v>
          </cell>
        </row>
        <row r="268">
          <cell r="B268">
            <v>0</v>
          </cell>
          <cell r="C268">
            <v>0.06</v>
          </cell>
        </row>
        <row r="269">
          <cell r="B269">
            <v>0</v>
          </cell>
          <cell r="C269">
            <v>0.05</v>
          </cell>
        </row>
        <row r="270">
          <cell r="B270">
            <v>0</v>
          </cell>
          <cell r="C270">
            <v>0.22</v>
          </cell>
        </row>
        <row r="271">
          <cell r="B271">
            <v>0</v>
          </cell>
          <cell r="C271">
            <v>0.25</v>
          </cell>
        </row>
        <row r="272">
          <cell r="B272">
            <v>0</v>
          </cell>
          <cell r="C272">
            <v>0.14000000000000001</v>
          </cell>
        </row>
        <row r="273">
          <cell r="B273">
            <v>0</v>
          </cell>
          <cell r="C273">
            <v>0.78</v>
          </cell>
        </row>
        <row r="274">
          <cell r="B274">
            <v>0</v>
          </cell>
          <cell r="C274">
            <v>0.02</v>
          </cell>
        </row>
        <row r="275">
          <cell r="B275">
            <v>0</v>
          </cell>
          <cell r="C275">
            <v>0.42</v>
          </cell>
        </row>
        <row r="276">
          <cell r="B276">
            <v>0</v>
          </cell>
          <cell r="C276">
            <v>0.12</v>
          </cell>
        </row>
        <row r="277">
          <cell r="B277">
            <v>0</v>
          </cell>
          <cell r="C277">
            <v>0.49</v>
          </cell>
        </row>
        <row r="278">
          <cell r="B278">
            <v>0</v>
          </cell>
          <cell r="C278">
            <v>0.6</v>
          </cell>
        </row>
        <row r="279">
          <cell r="B279">
            <v>0</v>
          </cell>
          <cell r="C279">
            <v>0.1</v>
          </cell>
        </row>
        <row r="280">
          <cell r="B280">
            <v>0</v>
          </cell>
          <cell r="C280">
            <v>0.18</v>
          </cell>
        </row>
        <row r="281">
          <cell r="B281">
            <v>0</v>
          </cell>
          <cell r="C281">
            <v>7.0000000000000007E-2</v>
          </cell>
        </row>
        <row r="282">
          <cell r="B282">
            <v>0</v>
          </cell>
          <cell r="C282">
            <v>7.0000000000000007E-2</v>
          </cell>
        </row>
        <row r="283">
          <cell r="B283">
            <v>0</v>
          </cell>
          <cell r="C283">
            <v>0.45</v>
          </cell>
        </row>
        <row r="284">
          <cell r="B284">
            <v>0</v>
          </cell>
          <cell r="C284">
            <v>0.02</v>
          </cell>
        </row>
        <row r="285">
          <cell r="B285">
            <v>0</v>
          </cell>
          <cell r="C285">
            <v>0.14000000000000001</v>
          </cell>
        </row>
        <row r="286">
          <cell r="B286">
            <v>0</v>
          </cell>
          <cell r="C286">
            <v>0.42</v>
          </cell>
        </row>
        <row r="287">
          <cell r="B287">
            <v>0</v>
          </cell>
          <cell r="C287">
            <v>0.16</v>
          </cell>
        </row>
        <row r="288">
          <cell r="B288">
            <v>0</v>
          </cell>
          <cell r="C288">
            <v>0.23</v>
          </cell>
        </row>
        <row r="289">
          <cell r="B289">
            <v>0</v>
          </cell>
          <cell r="C289">
            <v>0.36</v>
          </cell>
        </row>
        <row r="290">
          <cell r="B290">
            <v>0</v>
          </cell>
          <cell r="C290">
            <v>0.24</v>
          </cell>
        </row>
        <row r="291">
          <cell r="B291">
            <v>0</v>
          </cell>
          <cell r="C291">
            <v>0.63</v>
          </cell>
        </row>
        <row r="292">
          <cell r="B292">
            <v>0</v>
          </cell>
          <cell r="C292">
            <v>0.02</v>
          </cell>
        </row>
        <row r="293">
          <cell r="B293">
            <v>0</v>
          </cell>
          <cell r="C293">
            <v>0.18</v>
          </cell>
        </row>
        <row r="294">
          <cell r="B294">
            <v>0</v>
          </cell>
          <cell r="C294">
            <v>0.37</v>
          </cell>
        </row>
        <row r="295">
          <cell r="B295">
            <v>0</v>
          </cell>
          <cell r="C295">
            <v>0.1</v>
          </cell>
        </row>
        <row r="296">
          <cell r="B296">
            <v>0</v>
          </cell>
          <cell r="C296">
            <v>0.11</v>
          </cell>
        </row>
        <row r="297">
          <cell r="B297">
            <v>0</v>
          </cell>
          <cell r="C297">
            <v>0.28999999999999998</v>
          </cell>
        </row>
        <row r="298">
          <cell r="B298">
            <v>0</v>
          </cell>
          <cell r="C298">
            <v>0.39</v>
          </cell>
        </row>
        <row r="299">
          <cell r="B299">
            <v>0</v>
          </cell>
          <cell r="C299">
            <v>0.02</v>
          </cell>
        </row>
        <row r="300">
          <cell r="B300">
            <v>0</v>
          </cell>
          <cell r="C300">
            <v>0.13</v>
          </cell>
        </row>
        <row r="301">
          <cell r="B301">
            <v>0</v>
          </cell>
          <cell r="C301">
            <v>0.27</v>
          </cell>
        </row>
        <row r="302">
          <cell r="B302">
            <v>1</v>
          </cell>
          <cell r="C302">
            <v>0.31</v>
          </cell>
        </row>
        <row r="303">
          <cell r="B303">
            <v>0</v>
          </cell>
          <cell r="C303">
            <v>0.22</v>
          </cell>
        </row>
        <row r="304">
          <cell r="B304">
            <v>0</v>
          </cell>
          <cell r="C304">
            <v>7.0000000000000007E-2</v>
          </cell>
        </row>
        <row r="305">
          <cell r="B305">
            <v>0</v>
          </cell>
          <cell r="C305">
            <v>0.25</v>
          </cell>
        </row>
        <row r="306">
          <cell r="B306">
            <v>0</v>
          </cell>
          <cell r="C306">
            <v>0.2</v>
          </cell>
        </row>
        <row r="307">
          <cell r="B307">
            <v>0</v>
          </cell>
          <cell r="C307">
            <v>0.13</v>
          </cell>
        </row>
        <row r="308">
          <cell r="B308">
            <v>0</v>
          </cell>
          <cell r="C308">
            <v>0.32</v>
          </cell>
        </row>
        <row r="309">
          <cell r="B309">
            <v>0</v>
          </cell>
          <cell r="C309">
            <v>0.19</v>
          </cell>
        </row>
        <row r="310">
          <cell r="B310">
            <v>0</v>
          </cell>
          <cell r="C310">
            <v>0.1</v>
          </cell>
        </row>
        <row r="311">
          <cell r="B311">
            <v>0</v>
          </cell>
          <cell r="C311">
            <v>0.18</v>
          </cell>
        </row>
        <row r="312">
          <cell r="B312">
            <v>0</v>
          </cell>
          <cell r="C312">
            <v>0.2</v>
          </cell>
        </row>
        <row r="313">
          <cell r="B313">
            <v>0</v>
          </cell>
          <cell r="C313">
            <v>0.16</v>
          </cell>
        </row>
        <row r="314">
          <cell r="B314">
            <v>0</v>
          </cell>
          <cell r="C314">
            <v>0.2</v>
          </cell>
        </row>
        <row r="315">
          <cell r="B315">
            <v>0</v>
          </cell>
          <cell r="C315">
            <v>0.27</v>
          </cell>
        </row>
        <row r="316">
          <cell r="B316">
            <v>0</v>
          </cell>
          <cell r="C316">
            <v>0.33</v>
          </cell>
        </row>
        <row r="317">
          <cell r="B317">
            <v>0</v>
          </cell>
          <cell r="C317">
            <v>0.06</v>
          </cell>
        </row>
        <row r="318">
          <cell r="B318">
            <v>0</v>
          </cell>
          <cell r="C318">
            <v>0.4</v>
          </cell>
        </row>
        <row r="319">
          <cell r="B319">
            <v>0</v>
          </cell>
          <cell r="C319">
            <v>0.25</v>
          </cell>
        </row>
        <row r="320">
          <cell r="B320">
            <v>0</v>
          </cell>
          <cell r="C320">
            <v>0.13</v>
          </cell>
        </row>
        <row r="321">
          <cell r="B321">
            <v>0</v>
          </cell>
          <cell r="C321">
            <v>0.17</v>
          </cell>
        </row>
        <row r="322">
          <cell r="B322">
            <v>0</v>
          </cell>
          <cell r="C322">
            <v>0.18</v>
          </cell>
        </row>
        <row r="323">
          <cell r="B323">
            <v>0</v>
          </cell>
          <cell r="C323">
            <v>0.21</v>
          </cell>
        </row>
        <row r="324">
          <cell r="B324">
            <v>0</v>
          </cell>
          <cell r="C324">
            <v>0.48</v>
          </cell>
        </row>
        <row r="325">
          <cell r="B325">
            <v>0</v>
          </cell>
          <cell r="C325">
            <v>0.21</v>
          </cell>
        </row>
        <row r="326">
          <cell r="B326">
            <v>0</v>
          </cell>
          <cell r="C326">
            <v>0.32</v>
          </cell>
        </row>
        <row r="327">
          <cell r="B327">
            <v>0</v>
          </cell>
          <cell r="C327">
            <v>0.08</v>
          </cell>
        </row>
        <row r="328">
          <cell r="B328">
            <v>1</v>
          </cell>
          <cell r="C328">
            <v>0.66</v>
          </cell>
        </row>
        <row r="329">
          <cell r="B329">
            <v>0</v>
          </cell>
          <cell r="C329">
            <v>0.17</v>
          </cell>
        </row>
        <row r="330">
          <cell r="B330">
            <v>0</v>
          </cell>
          <cell r="C330">
            <v>0.49</v>
          </cell>
        </row>
        <row r="331">
          <cell r="B331">
            <v>0</v>
          </cell>
          <cell r="C331">
            <v>0.3</v>
          </cell>
        </row>
        <row r="332">
          <cell r="B332">
            <v>0</v>
          </cell>
          <cell r="C332">
            <v>0.02</v>
          </cell>
        </row>
        <row r="333">
          <cell r="B333">
            <v>0</v>
          </cell>
          <cell r="C333">
            <v>0.28999999999999998</v>
          </cell>
        </row>
        <row r="334">
          <cell r="B334">
            <v>0</v>
          </cell>
          <cell r="C334">
            <v>0.03</v>
          </cell>
        </row>
        <row r="335">
          <cell r="B335">
            <v>0</v>
          </cell>
          <cell r="C335">
            <v>0.17</v>
          </cell>
        </row>
        <row r="336">
          <cell r="B336">
            <v>0</v>
          </cell>
          <cell r="C336">
            <v>7.0000000000000007E-2</v>
          </cell>
        </row>
        <row r="337">
          <cell r="B337">
            <v>0</v>
          </cell>
          <cell r="C337">
            <v>0.39</v>
          </cell>
        </row>
        <row r="338">
          <cell r="B338">
            <v>0</v>
          </cell>
          <cell r="C338">
            <v>0.11</v>
          </cell>
        </row>
        <row r="339">
          <cell r="B339">
            <v>0</v>
          </cell>
          <cell r="C339">
            <v>0.1</v>
          </cell>
        </row>
        <row r="340">
          <cell r="B340">
            <v>0</v>
          </cell>
          <cell r="C340">
            <v>0.18</v>
          </cell>
        </row>
        <row r="341">
          <cell r="B341">
            <v>0</v>
          </cell>
          <cell r="C341">
            <v>0.13</v>
          </cell>
        </row>
        <row r="342">
          <cell r="B342">
            <v>0</v>
          </cell>
          <cell r="C342">
            <v>0.49</v>
          </cell>
        </row>
        <row r="343">
          <cell r="B343">
            <v>0</v>
          </cell>
          <cell r="C343">
            <v>0.03</v>
          </cell>
        </row>
        <row r="344">
          <cell r="B344">
            <v>0</v>
          </cell>
          <cell r="C344">
            <v>0.34</v>
          </cell>
        </row>
        <row r="345">
          <cell r="B345">
            <v>0</v>
          </cell>
          <cell r="C345">
            <v>0.15</v>
          </cell>
        </row>
        <row r="346">
          <cell r="B346">
            <v>0</v>
          </cell>
          <cell r="C346">
            <v>0.04</v>
          </cell>
        </row>
        <row r="347">
          <cell r="B347">
            <v>0</v>
          </cell>
          <cell r="C347">
            <v>0.34</v>
          </cell>
        </row>
        <row r="348">
          <cell r="B348">
            <v>0</v>
          </cell>
          <cell r="C348">
            <v>0.17</v>
          </cell>
        </row>
        <row r="349">
          <cell r="B349">
            <v>0</v>
          </cell>
          <cell r="C349">
            <v>0.12</v>
          </cell>
        </row>
        <row r="350">
          <cell r="B350">
            <v>0</v>
          </cell>
          <cell r="C350">
            <v>0.02</v>
          </cell>
        </row>
        <row r="351">
          <cell r="B351">
            <v>0</v>
          </cell>
          <cell r="C351">
            <v>0.21</v>
          </cell>
        </row>
        <row r="352">
          <cell r="B352">
            <v>0</v>
          </cell>
          <cell r="C352">
            <v>0.09</v>
          </cell>
        </row>
        <row r="353">
          <cell r="B353">
            <v>0</v>
          </cell>
          <cell r="C353">
            <v>0.24</v>
          </cell>
        </row>
        <row r="354">
          <cell r="B354">
            <v>0</v>
          </cell>
          <cell r="C354">
            <v>0.31</v>
          </cell>
        </row>
        <row r="355">
          <cell r="B355">
            <v>0</v>
          </cell>
          <cell r="C355">
            <v>0.33</v>
          </cell>
        </row>
        <row r="356">
          <cell r="B356">
            <v>0</v>
          </cell>
          <cell r="C356">
            <v>0.17</v>
          </cell>
        </row>
        <row r="357">
          <cell r="B357">
            <v>0</v>
          </cell>
          <cell r="C357">
            <v>0.49</v>
          </cell>
        </row>
        <row r="358">
          <cell r="B358">
            <v>0</v>
          </cell>
          <cell r="C358">
            <v>0.12</v>
          </cell>
        </row>
        <row r="359">
          <cell r="B359">
            <v>0</v>
          </cell>
          <cell r="C359">
            <v>0.13</v>
          </cell>
        </row>
        <row r="360">
          <cell r="B360">
            <v>0</v>
          </cell>
          <cell r="C360">
            <v>0.2</v>
          </cell>
        </row>
        <row r="361">
          <cell r="B361">
            <v>0</v>
          </cell>
          <cell r="C361">
            <v>0.08</v>
          </cell>
        </row>
        <row r="362">
          <cell r="B362">
            <v>0</v>
          </cell>
          <cell r="C362">
            <v>0.25</v>
          </cell>
        </row>
        <row r="363">
          <cell r="B363">
            <v>0</v>
          </cell>
          <cell r="C363">
            <v>0.21</v>
          </cell>
        </row>
        <row r="364">
          <cell r="B364">
            <v>0</v>
          </cell>
          <cell r="C364">
            <v>0.13</v>
          </cell>
        </row>
        <row r="365">
          <cell r="B365">
            <v>0</v>
          </cell>
          <cell r="C365">
            <v>0.26</v>
          </cell>
        </row>
        <row r="366">
          <cell r="B366">
            <v>0</v>
          </cell>
          <cell r="C366">
            <v>0.57999999999999996</v>
          </cell>
        </row>
        <row r="367">
          <cell r="B367">
            <v>0</v>
          </cell>
          <cell r="C367">
            <v>0.37</v>
          </cell>
        </row>
        <row r="368">
          <cell r="B368">
            <v>0</v>
          </cell>
          <cell r="C368">
            <v>0.11</v>
          </cell>
        </row>
        <row r="369">
          <cell r="B369">
            <v>0</v>
          </cell>
          <cell r="C369">
            <v>0.48</v>
          </cell>
        </row>
        <row r="370">
          <cell r="B370">
            <v>0</v>
          </cell>
          <cell r="C370">
            <v>0.28999999999999998</v>
          </cell>
        </row>
        <row r="371">
          <cell r="B371">
            <v>0</v>
          </cell>
          <cell r="C371">
            <v>0.05</v>
          </cell>
        </row>
        <row r="372">
          <cell r="B372">
            <v>0</v>
          </cell>
          <cell r="C372">
            <v>0.08</v>
          </cell>
        </row>
        <row r="373">
          <cell r="B373">
            <v>0</v>
          </cell>
          <cell r="C373">
            <v>0.15</v>
          </cell>
        </row>
        <row r="374">
          <cell r="B374">
            <v>0</v>
          </cell>
          <cell r="C374">
            <v>0.33</v>
          </cell>
        </row>
        <row r="375">
          <cell r="B375">
            <v>0</v>
          </cell>
          <cell r="C375">
            <v>0.14000000000000001</v>
          </cell>
        </row>
        <row r="376">
          <cell r="B376">
            <v>0</v>
          </cell>
          <cell r="C376">
            <v>7.0000000000000007E-2</v>
          </cell>
        </row>
        <row r="377">
          <cell r="B377">
            <v>0</v>
          </cell>
          <cell r="C377">
            <v>0.1</v>
          </cell>
        </row>
        <row r="378">
          <cell r="B378">
            <v>0</v>
          </cell>
          <cell r="C378">
            <v>0.34</v>
          </cell>
        </row>
        <row r="379">
          <cell r="B379">
            <v>0</v>
          </cell>
          <cell r="C379">
            <v>0.23</v>
          </cell>
        </row>
        <row r="380">
          <cell r="B380">
            <v>0</v>
          </cell>
          <cell r="C380">
            <v>0.02</v>
          </cell>
        </row>
        <row r="381">
          <cell r="B381">
            <v>0</v>
          </cell>
          <cell r="C381">
            <v>0.06</v>
          </cell>
        </row>
        <row r="382">
          <cell r="B382">
            <v>0</v>
          </cell>
          <cell r="C382">
            <v>0.25</v>
          </cell>
        </row>
        <row r="383">
          <cell r="B383">
            <v>0</v>
          </cell>
          <cell r="C383">
            <v>0.01</v>
          </cell>
        </row>
        <row r="384">
          <cell r="B384">
            <v>0</v>
          </cell>
          <cell r="C384">
            <v>0.15</v>
          </cell>
        </row>
        <row r="385">
          <cell r="B385">
            <v>0</v>
          </cell>
          <cell r="C385">
            <v>0.18</v>
          </cell>
        </row>
        <row r="386">
          <cell r="B386">
            <v>0</v>
          </cell>
          <cell r="C386">
            <v>0.05</v>
          </cell>
        </row>
        <row r="387">
          <cell r="B387">
            <v>0</v>
          </cell>
          <cell r="C387">
            <v>0.22</v>
          </cell>
        </row>
        <row r="388">
          <cell r="B388">
            <v>0</v>
          </cell>
          <cell r="C388">
            <v>0.01</v>
          </cell>
        </row>
        <row r="389">
          <cell r="B389">
            <v>0</v>
          </cell>
          <cell r="C389">
            <v>7.0000000000000007E-2</v>
          </cell>
        </row>
        <row r="390">
          <cell r="B390">
            <v>0</v>
          </cell>
          <cell r="C390">
            <v>0.02</v>
          </cell>
        </row>
        <row r="391">
          <cell r="B391">
            <v>0</v>
          </cell>
          <cell r="C391">
            <v>0.16</v>
          </cell>
        </row>
        <row r="392">
          <cell r="B392">
            <v>0</v>
          </cell>
          <cell r="C392">
            <v>0.42</v>
          </cell>
        </row>
        <row r="393">
          <cell r="B393">
            <v>0</v>
          </cell>
          <cell r="C393">
            <v>0.44</v>
          </cell>
        </row>
        <row r="394">
          <cell r="B394">
            <v>0</v>
          </cell>
          <cell r="C394">
            <v>0.59</v>
          </cell>
        </row>
        <row r="395">
          <cell r="B395">
            <v>0</v>
          </cell>
          <cell r="C395">
            <v>7.0000000000000007E-2</v>
          </cell>
        </row>
        <row r="396">
          <cell r="B396">
            <v>0</v>
          </cell>
          <cell r="C396">
            <v>7.0000000000000007E-2</v>
          </cell>
        </row>
        <row r="397">
          <cell r="B397">
            <v>0</v>
          </cell>
          <cell r="C397">
            <v>0.18</v>
          </cell>
        </row>
        <row r="398">
          <cell r="B398">
            <v>0</v>
          </cell>
          <cell r="C398">
            <v>0.43</v>
          </cell>
        </row>
        <row r="399">
          <cell r="B399">
            <v>0</v>
          </cell>
          <cell r="C399">
            <v>0.16</v>
          </cell>
        </row>
        <row r="400">
          <cell r="B400">
            <v>0</v>
          </cell>
          <cell r="C400">
            <v>0.35</v>
          </cell>
        </row>
        <row r="401">
          <cell r="B401">
            <v>0</v>
          </cell>
          <cell r="C401">
            <v>0.11</v>
          </cell>
        </row>
        <row r="402">
          <cell r="B402">
            <v>0</v>
          </cell>
          <cell r="C402">
            <v>0.1</v>
          </cell>
        </row>
        <row r="403">
          <cell r="B403">
            <v>0</v>
          </cell>
          <cell r="C403">
            <v>0.41</v>
          </cell>
        </row>
        <row r="404">
          <cell r="B404">
            <v>0</v>
          </cell>
          <cell r="C404">
            <v>0.25</v>
          </cell>
        </row>
        <row r="405">
          <cell r="B405">
            <v>0</v>
          </cell>
          <cell r="C405">
            <v>0.22</v>
          </cell>
        </row>
        <row r="406">
          <cell r="B406">
            <v>0</v>
          </cell>
          <cell r="C406">
            <v>0.32</v>
          </cell>
        </row>
        <row r="407">
          <cell r="B407">
            <v>0</v>
          </cell>
          <cell r="C407">
            <v>0.69</v>
          </cell>
        </row>
        <row r="408">
          <cell r="B408">
            <v>0</v>
          </cell>
          <cell r="C408">
            <v>0.2</v>
          </cell>
        </row>
        <row r="409">
          <cell r="B409">
            <v>0</v>
          </cell>
          <cell r="C409">
            <v>7.0000000000000007E-2</v>
          </cell>
        </row>
        <row r="410">
          <cell r="B410">
            <v>0</v>
          </cell>
          <cell r="C410">
            <v>0.04</v>
          </cell>
        </row>
        <row r="411">
          <cell r="B411">
            <v>0</v>
          </cell>
          <cell r="C411">
            <v>0.56999999999999995</v>
          </cell>
        </row>
        <row r="412">
          <cell r="B412">
            <v>0</v>
          </cell>
          <cell r="C412">
            <v>0.1</v>
          </cell>
        </row>
        <row r="413">
          <cell r="B413">
            <v>0</v>
          </cell>
          <cell r="C413">
            <v>0.13</v>
          </cell>
        </row>
        <row r="414">
          <cell r="B414">
            <v>0</v>
          </cell>
          <cell r="C414">
            <v>0.15</v>
          </cell>
        </row>
        <row r="415">
          <cell r="B415">
            <v>0</v>
          </cell>
          <cell r="C415">
            <v>0.04</v>
          </cell>
        </row>
        <row r="416">
          <cell r="B416">
            <v>0</v>
          </cell>
          <cell r="C416">
            <v>0.25</v>
          </cell>
        </row>
        <row r="417">
          <cell r="B417">
            <v>0</v>
          </cell>
          <cell r="C417">
            <v>0.21</v>
          </cell>
        </row>
        <row r="418">
          <cell r="B418">
            <v>0</v>
          </cell>
          <cell r="C418">
            <v>0.28999999999999998</v>
          </cell>
        </row>
        <row r="419">
          <cell r="B419">
            <v>0</v>
          </cell>
          <cell r="C419">
            <v>0.42</v>
          </cell>
        </row>
        <row r="420">
          <cell r="B420">
            <v>0</v>
          </cell>
          <cell r="C420">
            <v>0.4</v>
          </cell>
        </row>
        <row r="421">
          <cell r="B421">
            <v>0</v>
          </cell>
          <cell r="C421">
            <v>0.2</v>
          </cell>
        </row>
        <row r="422">
          <cell r="B422">
            <v>0</v>
          </cell>
          <cell r="C422">
            <v>0.46</v>
          </cell>
        </row>
        <row r="423">
          <cell r="B423">
            <v>0</v>
          </cell>
          <cell r="C423">
            <v>0.18</v>
          </cell>
        </row>
        <row r="424">
          <cell r="B424">
            <v>0</v>
          </cell>
          <cell r="C424">
            <v>0.03</v>
          </cell>
        </row>
        <row r="425">
          <cell r="B425">
            <v>0</v>
          </cell>
          <cell r="C425">
            <v>0.19</v>
          </cell>
        </row>
        <row r="426">
          <cell r="B426">
            <v>0</v>
          </cell>
          <cell r="C426">
            <v>0.26</v>
          </cell>
        </row>
        <row r="427">
          <cell r="B427">
            <v>0</v>
          </cell>
          <cell r="C427">
            <v>0.12</v>
          </cell>
        </row>
        <row r="428">
          <cell r="B428">
            <v>0</v>
          </cell>
          <cell r="C428">
            <v>7.0000000000000007E-2</v>
          </cell>
        </row>
        <row r="429">
          <cell r="B429">
            <v>0</v>
          </cell>
          <cell r="C429">
            <v>0.37</v>
          </cell>
        </row>
        <row r="430">
          <cell r="B430">
            <v>0</v>
          </cell>
          <cell r="C430">
            <v>0.11</v>
          </cell>
        </row>
        <row r="431">
          <cell r="B431">
            <v>0</v>
          </cell>
          <cell r="C431">
            <v>0.34</v>
          </cell>
        </row>
        <row r="432">
          <cell r="B432">
            <v>0</v>
          </cell>
          <cell r="C432">
            <v>0.12</v>
          </cell>
        </row>
        <row r="433">
          <cell r="B433">
            <v>0</v>
          </cell>
          <cell r="C433">
            <v>0.49</v>
          </cell>
        </row>
        <row r="434">
          <cell r="B434">
            <v>0</v>
          </cell>
          <cell r="C434">
            <v>0.41</v>
          </cell>
        </row>
        <row r="435">
          <cell r="B435">
            <v>0</v>
          </cell>
          <cell r="C435">
            <v>0.49</v>
          </cell>
        </row>
        <row r="436">
          <cell r="B436">
            <v>0</v>
          </cell>
          <cell r="C436">
            <v>0.32</v>
          </cell>
        </row>
        <row r="437">
          <cell r="B437">
            <v>0</v>
          </cell>
          <cell r="C437">
            <v>0.15</v>
          </cell>
        </row>
        <row r="438">
          <cell r="B438">
            <v>0</v>
          </cell>
          <cell r="C438">
            <v>0.18</v>
          </cell>
        </row>
        <row r="439">
          <cell r="B439">
            <v>0</v>
          </cell>
          <cell r="C439">
            <v>0.28000000000000003</v>
          </cell>
        </row>
        <row r="440">
          <cell r="B440">
            <v>0</v>
          </cell>
          <cell r="C440">
            <v>0.49</v>
          </cell>
        </row>
        <row r="441">
          <cell r="B441">
            <v>0</v>
          </cell>
          <cell r="C441">
            <v>0.28999999999999998</v>
          </cell>
        </row>
        <row r="442">
          <cell r="B442">
            <v>0</v>
          </cell>
          <cell r="C442">
            <v>0.14000000000000001</v>
          </cell>
        </row>
        <row r="443">
          <cell r="B443">
            <v>0</v>
          </cell>
          <cell r="C443">
            <v>0.21</v>
          </cell>
        </row>
        <row r="444">
          <cell r="B444">
            <v>0</v>
          </cell>
          <cell r="C444">
            <v>0.13</v>
          </cell>
        </row>
        <row r="445">
          <cell r="B445">
            <v>0</v>
          </cell>
          <cell r="C445">
            <v>0.33</v>
          </cell>
        </row>
        <row r="446">
          <cell r="B446">
            <v>0</v>
          </cell>
          <cell r="C446">
            <v>0.25</v>
          </cell>
        </row>
        <row r="447">
          <cell r="B447">
            <v>0</v>
          </cell>
          <cell r="C447">
            <v>0.27</v>
          </cell>
        </row>
        <row r="448">
          <cell r="B448">
            <v>0</v>
          </cell>
          <cell r="C448">
            <v>0.4</v>
          </cell>
        </row>
        <row r="449">
          <cell r="B449">
            <v>0</v>
          </cell>
          <cell r="C449">
            <v>0.05</v>
          </cell>
        </row>
        <row r="450">
          <cell r="B450">
            <v>0</v>
          </cell>
          <cell r="C450">
            <v>0.48</v>
          </cell>
        </row>
        <row r="451">
          <cell r="B451">
            <v>0</v>
          </cell>
          <cell r="C451">
            <v>0.4</v>
          </cell>
        </row>
        <row r="452">
          <cell r="B452">
            <v>0</v>
          </cell>
          <cell r="C452">
            <v>0.43</v>
          </cell>
        </row>
        <row r="453">
          <cell r="B453">
            <v>0</v>
          </cell>
          <cell r="C453">
            <v>0.21</v>
          </cell>
        </row>
        <row r="454">
          <cell r="B454">
            <v>0</v>
          </cell>
          <cell r="C454">
            <v>0.22</v>
          </cell>
        </row>
        <row r="455">
          <cell r="B455">
            <v>0</v>
          </cell>
          <cell r="C455">
            <v>0.14000000000000001</v>
          </cell>
        </row>
        <row r="456">
          <cell r="B456">
            <v>0</v>
          </cell>
          <cell r="C456">
            <v>0.49</v>
          </cell>
        </row>
        <row r="457">
          <cell r="B457">
            <v>0</v>
          </cell>
          <cell r="C457">
            <v>0.27</v>
          </cell>
        </row>
        <row r="458">
          <cell r="B458">
            <v>0</v>
          </cell>
          <cell r="C458">
            <v>0.25</v>
          </cell>
        </row>
        <row r="459">
          <cell r="B459">
            <v>0</v>
          </cell>
          <cell r="C459">
            <v>0.04</v>
          </cell>
        </row>
        <row r="460">
          <cell r="B460">
            <v>0</v>
          </cell>
          <cell r="C460">
            <v>0.02</v>
          </cell>
        </row>
        <row r="461">
          <cell r="B461">
            <v>0</v>
          </cell>
          <cell r="C461">
            <v>0.03</v>
          </cell>
        </row>
        <row r="462">
          <cell r="B462">
            <v>0</v>
          </cell>
          <cell r="C462">
            <v>0.08</v>
          </cell>
        </row>
        <row r="463">
          <cell r="B463">
            <v>0</v>
          </cell>
          <cell r="C463">
            <v>0.37</v>
          </cell>
        </row>
        <row r="464">
          <cell r="B464">
            <v>0</v>
          </cell>
          <cell r="C464">
            <v>7.0000000000000007E-2</v>
          </cell>
        </row>
        <row r="465">
          <cell r="B465">
            <v>0</v>
          </cell>
          <cell r="C465">
            <v>0.27</v>
          </cell>
        </row>
        <row r="466">
          <cell r="B466">
            <v>0</v>
          </cell>
          <cell r="C466">
            <v>0.1</v>
          </cell>
        </row>
        <row r="467">
          <cell r="B467">
            <v>0</v>
          </cell>
          <cell r="C467">
            <v>0.4</v>
          </cell>
        </row>
        <row r="468">
          <cell r="B468">
            <v>0</v>
          </cell>
          <cell r="C468">
            <v>0.19</v>
          </cell>
        </row>
        <row r="469">
          <cell r="B469">
            <v>0</v>
          </cell>
          <cell r="C469">
            <v>0.49</v>
          </cell>
        </row>
        <row r="470">
          <cell r="B470">
            <v>0</v>
          </cell>
          <cell r="C470">
            <v>0.08</v>
          </cell>
        </row>
        <row r="471">
          <cell r="B471">
            <v>0</v>
          </cell>
          <cell r="C471">
            <v>0.06</v>
          </cell>
        </row>
        <row r="472">
          <cell r="B472">
            <v>0</v>
          </cell>
          <cell r="C472">
            <v>0.09</v>
          </cell>
        </row>
        <row r="473">
          <cell r="B473">
            <v>0</v>
          </cell>
          <cell r="C473">
            <v>0.13</v>
          </cell>
        </row>
        <row r="474">
          <cell r="B474">
            <v>0</v>
          </cell>
          <cell r="C474">
            <v>0.25</v>
          </cell>
        </row>
        <row r="475">
          <cell r="B475">
            <v>0</v>
          </cell>
          <cell r="C475">
            <v>0.23</v>
          </cell>
        </row>
        <row r="476">
          <cell r="B476">
            <v>0</v>
          </cell>
          <cell r="C476">
            <v>0.38</v>
          </cell>
        </row>
        <row r="477">
          <cell r="B477">
            <v>0</v>
          </cell>
          <cell r="C477">
            <v>0.49</v>
          </cell>
        </row>
        <row r="478">
          <cell r="B478">
            <v>0</v>
          </cell>
          <cell r="C478">
            <v>0.1</v>
          </cell>
        </row>
        <row r="479">
          <cell r="B479">
            <v>0</v>
          </cell>
          <cell r="C479">
            <v>0.16</v>
          </cell>
        </row>
        <row r="480">
          <cell r="B480">
            <v>0</v>
          </cell>
          <cell r="C480">
            <v>0.49</v>
          </cell>
        </row>
        <row r="481">
          <cell r="B481">
            <v>0</v>
          </cell>
          <cell r="C481">
            <v>0.43</v>
          </cell>
        </row>
        <row r="482">
          <cell r="B482">
            <v>0</v>
          </cell>
          <cell r="C482">
            <v>0.08</v>
          </cell>
        </row>
        <row r="483">
          <cell r="B483">
            <v>0</v>
          </cell>
          <cell r="C483">
            <v>0.25</v>
          </cell>
        </row>
        <row r="484">
          <cell r="B484">
            <v>0</v>
          </cell>
          <cell r="C484">
            <v>0.17</v>
          </cell>
        </row>
        <row r="485">
          <cell r="B485">
            <v>0</v>
          </cell>
          <cell r="C485">
            <v>0.02</v>
          </cell>
        </row>
        <row r="486">
          <cell r="B486">
            <v>0</v>
          </cell>
          <cell r="C486">
            <v>0.06</v>
          </cell>
        </row>
        <row r="487">
          <cell r="B487">
            <v>0</v>
          </cell>
          <cell r="C487">
            <v>0.28000000000000003</v>
          </cell>
        </row>
        <row r="488">
          <cell r="B488">
            <v>0</v>
          </cell>
          <cell r="C488">
            <v>0.11</v>
          </cell>
        </row>
        <row r="489">
          <cell r="B489">
            <v>0</v>
          </cell>
          <cell r="C489">
            <v>0.03</v>
          </cell>
        </row>
        <row r="490">
          <cell r="B490">
            <v>0</v>
          </cell>
          <cell r="C490">
            <v>0.1</v>
          </cell>
        </row>
        <row r="491">
          <cell r="B491">
            <v>0</v>
          </cell>
          <cell r="C491">
            <v>0.21</v>
          </cell>
        </row>
        <row r="492">
          <cell r="B492">
            <v>0</v>
          </cell>
          <cell r="C492">
            <v>0.09</v>
          </cell>
        </row>
        <row r="493">
          <cell r="B493">
            <v>0</v>
          </cell>
          <cell r="C493">
            <v>0.14000000000000001</v>
          </cell>
        </row>
        <row r="494">
          <cell r="B494">
            <v>0</v>
          </cell>
          <cell r="C494">
            <v>0.13</v>
          </cell>
        </row>
        <row r="495">
          <cell r="B495">
            <v>0</v>
          </cell>
          <cell r="C495">
            <v>0.27</v>
          </cell>
        </row>
        <row r="496">
          <cell r="B496">
            <v>0</v>
          </cell>
          <cell r="C496">
            <v>0.16</v>
          </cell>
        </row>
        <row r="497">
          <cell r="B497">
            <v>0</v>
          </cell>
          <cell r="C497">
            <v>0.49</v>
          </cell>
        </row>
        <row r="498">
          <cell r="B498">
            <v>0</v>
          </cell>
          <cell r="C498">
            <v>0.51</v>
          </cell>
        </row>
        <row r="499">
          <cell r="B499">
            <v>0</v>
          </cell>
          <cell r="C499">
            <v>0.17</v>
          </cell>
        </row>
        <row r="500">
          <cell r="B500">
            <v>0</v>
          </cell>
          <cell r="C500">
            <v>0.3</v>
          </cell>
        </row>
        <row r="501">
          <cell r="B501">
            <v>0</v>
          </cell>
          <cell r="C501">
            <v>0.1</v>
          </cell>
        </row>
        <row r="502">
          <cell r="B502">
            <v>0</v>
          </cell>
          <cell r="C502">
            <v>0.37</v>
          </cell>
        </row>
        <row r="503">
          <cell r="B503">
            <v>0</v>
          </cell>
          <cell r="C503">
            <v>0.13</v>
          </cell>
        </row>
        <row r="504">
          <cell r="B504">
            <v>0</v>
          </cell>
          <cell r="C504">
            <v>0.28999999999999998</v>
          </cell>
        </row>
        <row r="505">
          <cell r="B505">
            <v>0</v>
          </cell>
          <cell r="C505">
            <v>0.23</v>
          </cell>
        </row>
        <row r="506">
          <cell r="B506">
            <v>0</v>
          </cell>
          <cell r="C506">
            <v>0.19</v>
          </cell>
        </row>
        <row r="507">
          <cell r="B507">
            <v>0</v>
          </cell>
          <cell r="C507">
            <v>0.11</v>
          </cell>
        </row>
        <row r="508">
          <cell r="B508">
            <v>0</v>
          </cell>
          <cell r="C508">
            <v>0.49</v>
          </cell>
        </row>
        <row r="509">
          <cell r="B509">
            <v>0</v>
          </cell>
          <cell r="C509">
            <v>0.02</v>
          </cell>
        </row>
        <row r="510">
          <cell r="B510">
            <v>0</v>
          </cell>
          <cell r="C510">
            <v>0.24</v>
          </cell>
        </row>
        <row r="511">
          <cell r="B511">
            <v>0</v>
          </cell>
          <cell r="C511">
            <v>0.49</v>
          </cell>
        </row>
        <row r="512">
          <cell r="B512">
            <v>0</v>
          </cell>
          <cell r="C512">
            <v>0.6</v>
          </cell>
        </row>
        <row r="513">
          <cell r="B513">
            <v>0</v>
          </cell>
          <cell r="C513">
            <v>0.31</v>
          </cell>
        </row>
        <row r="514">
          <cell r="B514">
            <v>0</v>
          </cell>
          <cell r="C514">
            <v>0.15</v>
          </cell>
        </row>
        <row r="515">
          <cell r="B515">
            <v>0</v>
          </cell>
          <cell r="C515">
            <v>0.39</v>
          </cell>
        </row>
        <row r="516">
          <cell r="B516">
            <v>0</v>
          </cell>
          <cell r="C516">
            <v>0.33</v>
          </cell>
        </row>
        <row r="517">
          <cell r="B517">
            <v>0</v>
          </cell>
          <cell r="C517">
            <v>0.49</v>
          </cell>
        </row>
        <row r="518">
          <cell r="B518">
            <v>0</v>
          </cell>
          <cell r="C518">
            <v>0.18</v>
          </cell>
        </row>
        <row r="519">
          <cell r="B519">
            <v>0</v>
          </cell>
          <cell r="C519">
            <v>0.28000000000000003</v>
          </cell>
        </row>
        <row r="520">
          <cell r="B520">
            <v>0</v>
          </cell>
          <cell r="C520">
            <v>0.15</v>
          </cell>
        </row>
        <row r="521">
          <cell r="B521">
            <v>0</v>
          </cell>
          <cell r="C521">
            <v>0.11</v>
          </cell>
        </row>
        <row r="522">
          <cell r="B522">
            <v>0</v>
          </cell>
          <cell r="C522">
            <v>0.19</v>
          </cell>
        </row>
        <row r="523">
          <cell r="B523">
            <v>0</v>
          </cell>
          <cell r="C523">
            <v>0.11</v>
          </cell>
        </row>
        <row r="524">
          <cell r="B524">
            <v>0</v>
          </cell>
          <cell r="C524">
            <v>0.32</v>
          </cell>
        </row>
        <row r="525">
          <cell r="B525">
            <v>0</v>
          </cell>
          <cell r="C525">
            <v>0.5</v>
          </cell>
        </row>
        <row r="526">
          <cell r="B526">
            <v>0</v>
          </cell>
          <cell r="C526">
            <v>0.49</v>
          </cell>
        </row>
        <row r="527">
          <cell r="B527">
            <v>0</v>
          </cell>
          <cell r="C527">
            <v>0.12</v>
          </cell>
        </row>
        <row r="528">
          <cell r="B528">
            <v>0</v>
          </cell>
          <cell r="C528">
            <v>0.03</v>
          </cell>
        </row>
        <row r="529">
          <cell r="B529">
            <v>0</v>
          </cell>
          <cell r="C529">
            <v>0.15</v>
          </cell>
        </row>
        <row r="530">
          <cell r="B530">
            <v>0</v>
          </cell>
          <cell r="C530">
            <v>0.15</v>
          </cell>
        </row>
        <row r="531">
          <cell r="B531">
            <v>0</v>
          </cell>
          <cell r="C531">
            <v>0.2</v>
          </cell>
        </row>
        <row r="532">
          <cell r="B532">
            <v>0</v>
          </cell>
          <cell r="C532">
            <v>0.11</v>
          </cell>
        </row>
        <row r="533">
          <cell r="B533">
            <v>0</v>
          </cell>
          <cell r="C533">
            <v>0.49</v>
          </cell>
        </row>
        <row r="534">
          <cell r="B534">
            <v>0</v>
          </cell>
          <cell r="C534">
            <v>0.16</v>
          </cell>
        </row>
        <row r="535">
          <cell r="B535">
            <v>0</v>
          </cell>
          <cell r="C535">
            <v>0.49</v>
          </cell>
        </row>
        <row r="536">
          <cell r="B536">
            <v>0</v>
          </cell>
          <cell r="C536">
            <v>0.41</v>
          </cell>
        </row>
        <row r="537">
          <cell r="B537">
            <v>0</v>
          </cell>
          <cell r="C537">
            <v>0.06</v>
          </cell>
        </row>
        <row r="538">
          <cell r="B538">
            <v>0</v>
          </cell>
          <cell r="C538">
            <v>0.34</v>
          </cell>
        </row>
        <row r="539">
          <cell r="B539">
            <v>0</v>
          </cell>
          <cell r="C539">
            <v>0.42</v>
          </cell>
        </row>
        <row r="540">
          <cell r="B540">
            <v>0</v>
          </cell>
          <cell r="C540">
            <v>0.27</v>
          </cell>
        </row>
        <row r="541">
          <cell r="B541">
            <v>0</v>
          </cell>
          <cell r="C541">
            <v>0.27</v>
          </cell>
        </row>
        <row r="542">
          <cell r="B542">
            <v>0</v>
          </cell>
          <cell r="C542">
            <v>0.19</v>
          </cell>
        </row>
        <row r="543">
          <cell r="B543">
            <v>0</v>
          </cell>
          <cell r="C543">
            <v>0.18</v>
          </cell>
        </row>
        <row r="544">
          <cell r="B544">
            <v>0</v>
          </cell>
          <cell r="C544">
            <v>0.28000000000000003</v>
          </cell>
        </row>
        <row r="545">
          <cell r="B545">
            <v>0</v>
          </cell>
          <cell r="C545">
            <v>0.71</v>
          </cell>
        </row>
        <row r="546">
          <cell r="B546">
            <v>0</v>
          </cell>
          <cell r="C546">
            <v>0.45</v>
          </cell>
        </row>
        <row r="547">
          <cell r="B547">
            <v>0</v>
          </cell>
          <cell r="C547">
            <v>0.02</v>
          </cell>
        </row>
        <row r="548">
          <cell r="B548">
            <v>0</v>
          </cell>
          <cell r="C548">
            <v>0.38</v>
          </cell>
        </row>
        <row r="549">
          <cell r="B549">
            <v>0</v>
          </cell>
          <cell r="C549">
            <v>0.55000000000000004</v>
          </cell>
        </row>
        <row r="550">
          <cell r="B550">
            <v>0</v>
          </cell>
          <cell r="C550">
            <v>0.02</v>
          </cell>
        </row>
        <row r="551">
          <cell r="B551">
            <v>0</v>
          </cell>
          <cell r="C551">
            <v>0.15</v>
          </cell>
        </row>
        <row r="552">
          <cell r="B552">
            <v>0</v>
          </cell>
          <cell r="C552">
            <v>0.37</v>
          </cell>
        </row>
        <row r="553">
          <cell r="B553">
            <v>0</v>
          </cell>
          <cell r="C553">
            <v>0.23</v>
          </cell>
        </row>
        <row r="554">
          <cell r="B554">
            <v>0</v>
          </cell>
          <cell r="C554">
            <v>0.22</v>
          </cell>
        </row>
        <row r="555">
          <cell r="B555">
            <v>0</v>
          </cell>
          <cell r="C555">
            <v>0.38</v>
          </cell>
        </row>
        <row r="556">
          <cell r="B556">
            <v>0</v>
          </cell>
          <cell r="C556">
            <v>0.42</v>
          </cell>
        </row>
        <row r="557">
          <cell r="B557">
            <v>0</v>
          </cell>
          <cell r="C557">
            <v>0.16</v>
          </cell>
        </row>
        <row r="558">
          <cell r="B558">
            <v>0</v>
          </cell>
          <cell r="C558">
            <v>0.04</v>
          </cell>
        </row>
        <row r="559">
          <cell r="B559">
            <v>0</v>
          </cell>
          <cell r="C559">
            <v>0.08</v>
          </cell>
        </row>
        <row r="560">
          <cell r="B560">
            <v>0</v>
          </cell>
          <cell r="C560">
            <v>0.4</v>
          </cell>
        </row>
        <row r="561">
          <cell r="B561">
            <v>0</v>
          </cell>
          <cell r="C561">
            <v>0.36</v>
          </cell>
        </row>
        <row r="562">
          <cell r="B562">
            <v>0</v>
          </cell>
          <cell r="C562">
            <v>0.05</v>
          </cell>
        </row>
        <row r="563">
          <cell r="B563">
            <v>0</v>
          </cell>
          <cell r="C563">
            <v>0.08</v>
          </cell>
        </row>
        <row r="564">
          <cell r="B564">
            <v>0</v>
          </cell>
          <cell r="C564">
            <v>0.14000000000000001</v>
          </cell>
        </row>
        <row r="565">
          <cell r="B565">
            <v>0</v>
          </cell>
          <cell r="C565">
            <v>0.28999999999999998</v>
          </cell>
        </row>
        <row r="566">
          <cell r="B566">
            <v>0</v>
          </cell>
          <cell r="C566">
            <v>0.21</v>
          </cell>
        </row>
        <row r="567">
          <cell r="B567">
            <v>0</v>
          </cell>
          <cell r="C567">
            <v>0.24</v>
          </cell>
        </row>
        <row r="568">
          <cell r="B568">
            <v>0</v>
          </cell>
          <cell r="C568">
            <v>0.49</v>
          </cell>
        </row>
        <row r="569">
          <cell r="B569">
            <v>0</v>
          </cell>
          <cell r="C569">
            <v>0.47</v>
          </cell>
        </row>
        <row r="570">
          <cell r="B570">
            <v>0</v>
          </cell>
          <cell r="C570">
            <v>0.28000000000000003</v>
          </cell>
        </row>
        <row r="571">
          <cell r="B571">
            <v>0</v>
          </cell>
          <cell r="C571">
            <v>0.15</v>
          </cell>
        </row>
        <row r="572">
          <cell r="B572">
            <v>0</v>
          </cell>
          <cell r="C572">
            <v>0.24</v>
          </cell>
        </row>
        <row r="573">
          <cell r="B573">
            <v>0</v>
          </cell>
          <cell r="C573">
            <v>0.3</v>
          </cell>
        </row>
        <row r="574">
          <cell r="B574">
            <v>0</v>
          </cell>
          <cell r="C574">
            <v>0.16</v>
          </cell>
        </row>
        <row r="575">
          <cell r="B575">
            <v>0</v>
          </cell>
          <cell r="C575">
            <v>0.12</v>
          </cell>
        </row>
        <row r="576">
          <cell r="B576">
            <v>0</v>
          </cell>
          <cell r="C576">
            <v>0.49</v>
          </cell>
        </row>
        <row r="577">
          <cell r="B577">
            <v>0</v>
          </cell>
          <cell r="C577">
            <v>0.24</v>
          </cell>
        </row>
        <row r="578">
          <cell r="B578">
            <v>0</v>
          </cell>
          <cell r="C578">
            <v>0.28000000000000003</v>
          </cell>
        </row>
        <row r="579">
          <cell r="B579">
            <v>0</v>
          </cell>
          <cell r="C579">
            <v>0.36</v>
          </cell>
        </row>
        <row r="580">
          <cell r="B580">
            <v>0</v>
          </cell>
          <cell r="C580">
            <v>0.39</v>
          </cell>
        </row>
        <row r="581">
          <cell r="B581">
            <v>0</v>
          </cell>
          <cell r="C581">
            <v>0.04</v>
          </cell>
        </row>
        <row r="582">
          <cell r="B582">
            <v>0</v>
          </cell>
          <cell r="C582">
            <v>0.31</v>
          </cell>
        </row>
        <row r="583">
          <cell r="B583">
            <v>0</v>
          </cell>
          <cell r="C583">
            <v>0.32</v>
          </cell>
        </row>
        <row r="584">
          <cell r="B584">
            <v>0</v>
          </cell>
          <cell r="C584">
            <v>0.21</v>
          </cell>
        </row>
        <row r="585">
          <cell r="B585">
            <v>0</v>
          </cell>
          <cell r="C585">
            <v>0.32</v>
          </cell>
        </row>
        <row r="586">
          <cell r="B586">
            <v>0</v>
          </cell>
          <cell r="C586">
            <v>0.49</v>
          </cell>
        </row>
        <row r="587">
          <cell r="B587">
            <v>0</v>
          </cell>
          <cell r="C587">
            <v>0.36</v>
          </cell>
        </row>
        <row r="588">
          <cell r="B588">
            <v>0</v>
          </cell>
          <cell r="C588">
            <v>0.49</v>
          </cell>
        </row>
        <row r="589">
          <cell r="B589">
            <v>0</v>
          </cell>
          <cell r="C589">
            <v>0.03</v>
          </cell>
        </row>
        <row r="590">
          <cell r="B590">
            <v>0</v>
          </cell>
          <cell r="C590">
            <v>0.21</v>
          </cell>
        </row>
        <row r="591">
          <cell r="B591">
            <v>0</v>
          </cell>
          <cell r="C591">
            <v>0.17</v>
          </cell>
        </row>
        <row r="592">
          <cell r="B592">
            <v>0</v>
          </cell>
          <cell r="C592">
            <v>0.48</v>
          </cell>
        </row>
        <row r="593">
          <cell r="B593">
            <v>0</v>
          </cell>
          <cell r="C593">
            <v>0.56999999999999995</v>
          </cell>
        </row>
        <row r="594">
          <cell r="B594">
            <v>0</v>
          </cell>
          <cell r="C594">
            <v>0.84</v>
          </cell>
        </row>
        <row r="595">
          <cell r="B595">
            <v>0</v>
          </cell>
          <cell r="C595">
            <v>0.19</v>
          </cell>
        </row>
        <row r="596">
          <cell r="B596">
            <v>0</v>
          </cell>
          <cell r="C596">
            <v>0.15</v>
          </cell>
        </row>
        <row r="597">
          <cell r="B597">
            <v>0</v>
          </cell>
          <cell r="C597">
            <v>0.33</v>
          </cell>
        </row>
        <row r="598">
          <cell r="B598">
            <v>0</v>
          </cell>
          <cell r="C598">
            <v>0.37</v>
          </cell>
        </row>
        <row r="599">
          <cell r="B599">
            <v>0</v>
          </cell>
          <cell r="C599">
            <v>0.24</v>
          </cell>
        </row>
        <row r="600">
          <cell r="B600">
            <v>0</v>
          </cell>
          <cell r="C600">
            <v>0.43</v>
          </cell>
        </row>
        <row r="601">
          <cell r="B601">
            <v>0</v>
          </cell>
          <cell r="C601">
            <v>0.14000000000000001</v>
          </cell>
        </row>
        <row r="602">
          <cell r="B602">
            <v>0</v>
          </cell>
          <cell r="C602">
            <v>0.81</v>
          </cell>
        </row>
        <row r="603">
          <cell r="B603">
            <v>0</v>
          </cell>
          <cell r="C603">
            <v>0.46</v>
          </cell>
        </row>
        <row r="604">
          <cell r="B604">
            <v>0</v>
          </cell>
          <cell r="C604">
            <v>0.1</v>
          </cell>
        </row>
        <row r="605">
          <cell r="B605">
            <v>0</v>
          </cell>
          <cell r="C605">
            <v>0.04</v>
          </cell>
        </row>
        <row r="606">
          <cell r="B606">
            <v>0</v>
          </cell>
          <cell r="C606">
            <v>0.49</v>
          </cell>
        </row>
        <row r="607">
          <cell r="B607">
            <v>0</v>
          </cell>
          <cell r="C607">
            <v>0.09</v>
          </cell>
        </row>
        <row r="608">
          <cell r="B608">
            <v>0</v>
          </cell>
          <cell r="C608">
            <v>0.27</v>
          </cell>
        </row>
        <row r="609">
          <cell r="B609">
            <v>0</v>
          </cell>
          <cell r="C609">
            <v>0.67</v>
          </cell>
        </row>
        <row r="610">
          <cell r="B610">
            <v>0</v>
          </cell>
          <cell r="C610">
            <v>0.1</v>
          </cell>
        </row>
        <row r="611">
          <cell r="B611">
            <v>0</v>
          </cell>
          <cell r="C611">
            <v>0.31</v>
          </cell>
        </row>
        <row r="612">
          <cell r="B612">
            <v>0</v>
          </cell>
          <cell r="C612">
            <v>0.12</v>
          </cell>
        </row>
        <row r="613">
          <cell r="B613">
            <v>0</v>
          </cell>
          <cell r="C613">
            <v>0.46</v>
          </cell>
        </row>
        <row r="614">
          <cell r="B614">
            <v>0</v>
          </cell>
          <cell r="C614">
            <v>0.03</v>
          </cell>
        </row>
        <row r="615">
          <cell r="B615">
            <v>0</v>
          </cell>
          <cell r="C615">
            <v>0.2</v>
          </cell>
        </row>
        <row r="616">
          <cell r="B616">
            <v>0</v>
          </cell>
          <cell r="C616">
            <v>0.2</v>
          </cell>
        </row>
        <row r="617">
          <cell r="B617">
            <v>0</v>
          </cell>
          <cell r="C617">
            <v>0.31</v>
          </cell>
        </row>
        <row r="618">
          <cell r="B618">
            <v>0</v>
          </cell>
          <cell r="C618">
            <v>0.16</v>
          </cell>
        </row>
        <row r="619">
          <cell r="B619">
            <v>0</v>
          </cell>
          <cell r="C619">
            <v>0.49</v>
          </cell>
        </row>
        <row r="620">
          <cell r="B620">
            <v>0</v>
          </cell>
          <cell r="C620">
            <v>0.1</v>
          </cell>
        </row>
        <row r="621">
          <cell r="B621">
            <v>0</v>
          </cell>
          <cell r="C621">
            <v>0.28000000000000003</v>
          </cell>
        </row>
        <row r="622">
          <cell r="B622">
            <v>0</v>
          </cell>
          <cell r="C622">
            <v>0.28999999999999998</v>
          </cell>
        </row>
        <row r="623">
          <cell r="B623">
            <v>0</v>
          </cell>
          <cell r="C623">
            <v>0.49</v>
          </cell>
        </row>
        <row r="624">
          <cell r="B624">
            <v>0</v>
          </cell>
          <cell r="C624">
            <v>0.33</v>
          </cell>
        </row>
        <row r="625">
          <cell r="B625">
            <v>0</v>
          </cell>
          <cell r="C625">
            <v>0.04</v>
          </cell>
        </row>
        <row r="626">
          <cell r="B626">
            <v>0</v>
          </cell>
          <cell r="C626">
            <v>0.25</v>
          </cell>
        </row>
        <row r="627">
          <cell r="B627">
            <v>0</v>
          </cell>
          <cell r="C627">
            <v>0.14000000000000001</v>
          </cell>
        </row>
        <row r="628">
          <cell r="B628">
            <v>0</v>
          </cell>
          <cell r="C628">
            <v>7.0000000000000007E-2</v>
          </cell>
        </row>
        <row r="629">
          <cell r="B629">
            <v>0</v>
          </cell>
          <cell r="C629">
            <v>0.17</v>
          </cell>
        </row>
        <row r="630">
          <cell r="B630">
            <v>0</v>
          </cell>
          <cell r="C630">
            <v>0.11</v>
          </cell>
        </row>
        <row r="631">
          <cell r="B631">
            <v>0</v>
          </cell>
          <cell r="C631">
            <v>0.35</v>
          </cell>
        </row>
        <row r="632">
          <cell r="B632">
            <v>0</v>
          </cell>
          <cell r="C632">
            <v>0.78</v>
          </cell>
        </row>
        <row r="633">
          <cell r="B633">
            <v>0</v>
          </cell>
          <cell r="C633">
            <v>0.06</v>
          </cell>
        </row>
        <row r="634">
          <cell r="B634">
            <v>0</v>
          </cell>
          <cell r="C634">
            <v>0.21</v>
          </cell>
        </row>
        <row r="635">
          <cell r="B635">
            <v>0</v>
          </cell>
          <cell r="C635">
            <v>0.11</v>
          </cell>
        </row>
        <row r="636">
          <cell r="B636">
            <v>0</v>
          </cell>
          <cell r="C636">
            <v>0.5</v>
          </cell>
        </row>
        <row r="637">
          <cell r="B637">
            <v>0</v>
          </cell>
          <cell r="C637">
            <v>0.01</v>
          </cell>
        </row>
        <row r="638">
          <cell r="B638">
            <v>1</v>
          </cell>
          <cell r="C638">
            <v>0.8</v>
          </cell>
        </row>
        <row r="639">
          <cell r="B639">
            <v>0</v>
          </cell>
          <cell r="C639">
            <v>0.09</v>
          </cell>
        </row>
        <row r="640">
          <cell r="B640">
            <v>0</v>
          </cell>
          <cell r="C640">
            <v>0.09</v>
          </cell>
        </row>
        <row r="641">
          <cell r="B641">
            <v>0</v>
          </cell>
          <cell r="C641">
            <v>0.1</v>
          </cell>
        </row>
        <row r="642">
          <cell r="B642">
            <v>0</v>
          </cell>
          <cell r="C642">
            <v>0.18</v>
          </cell>
        </row>
        <row r="643">
          <cell r="B643">
            <v>0</v>
          </cell>
          <cell r="C643">
            <v>0.06</v>
          </cell>
        </row>
        <row r="644">
          <cell r="B644">
            <v>0</v>
          </cell>
          <cell r="C644">
            <v>0.18</v>
          </cell>
        </row>
        <row r="645">
          <cell r="B645">
            <v>0</v>
          </cell>
          <cell r="C645">
            <v>0.05</v>
          </cell>
        </row>
        <row r="646">
          <cell r="B646">
            <v>0</v>
          </cell>
          <cell r="C646">
            <v>0.04</v>
          </cell>
        </row>
        <row r="647">
          <cell r="B647">
            <v>0</v>
          </cell>
          <cell r="C647">
            <v>0.26</v>
          </cell>
        </row>
        <row r="648">
          <cell r="B648">
            <v>0</v>
          </cell>
          <cell r="C648">
            <v>0.2</v>
          </cell>
        </row>
        <row r="649">
          <cell r="B649">
            <v>0</v>
          </cell>
          <cell r="C649">
            <v>0.26</v>
          </cell>
        </row>
        <row r="650">
          <cell r="B650">
            <v>0</v>
          </cell>
          <cell r="C650">
            <v>0.1</v>
          </cell>
        </row>
        <row r="651">
          <cell r="B651">
            <v>0</v>
          </cell>
          <cell r="C651">
            <v>0.17</v>
          </cell>
        </row>
        <row r="652">
          <cell r="B652">
            <v>0</v>
          </cell>
          <cell r="C652">
            <v>0.49</v>
          </cell>
        </row>
        <row r="653">
          <cell r="B653">
            <v>0</v>
          </cell>
          <cell r="C653">
            <v>0.28999999999999998</v>
          </cell>
        </row>
        <row r="654">
          <cell r="B654">
            <v>0</v>
          </cell>
          <cell r="C654">
            <v>0.26</v>
          </cell>
        </row>
        <row r="655">
          <cell r="B655">
            <v>0</v>
          </cell>
          <cell r="C655">
            <v>7.0000000000000007E-2</v>
          </cell>
        </row>
        <row r="656">
          <cell r="B656">
            <v>0</v>
          </cell>
          <cell r="C656">
            <v>0.11</v>
          </cell>
        </row>
        <row r="657">
          <cell r="B657">
            <v>0</v>
          </cell>
          <cell r="C657">
            <v>7.0000000000000007E-2</v>
          </cell>
        </row>
        <row r="658">
          <cell r="B658">
            <v>0</v>
          </cell>
          <cell r="C658">
            <v>0.36</v>
          </cell>
        </row>
        <row r="659">
          <cell r="B659">
            <v>0</v>
          </cell>
          <cell r="C659">
            <v>0.2</v>
          </cell>
        </row>
        <row r="660">
          <cell r="B660">
            <v>0</v>
          </cell>
          <cell r="C660">
            <v>0.56999999999999995</v>
          </cell>
        </row>
        <row r="661">
          <cell r="B661">
            <v>0</v>
          </cell>
          <cell r="C661">
            <v>0.17</v>
          </cell>
        </row>
        <row r="662">
          <cell r="B662">
            <v>0</v>
          </cell>
          <cell r="C662">
            <v>0.42</v>
          </cell>
        </row>
        <row r="663">
          <cell r="B663">
            <v>0</v>
          </cell>
          <cell r="C663">
            <v>0.04</v>
          </cell>
        </row>
        <row r="664">
          <cell r="B664">
            <v>0</v>
          </cell>
          <cell r="C664">
            <v>0.19</v>
          </cell>
        </row>
        <row r="665">
          <cell r="B665">
            <v>0</v>
          </cell>
          <cell r="C665">
            <v>0.16</v>
          </cell>
        </row>
        <row r="666">
          <cell r="B666">
            <v>0</v>
          </cell>
          <cell r="C666">
            <v>0.27</v>
          </cell>
        </row>
        <row r="667">
          <cell r="B667">
            <v>0</v>
          </cell>
          <cell r="C667">
            <v>0.77</v>
          </cell>
        </row>
        <row r="668">
          <cell r="B668">
            <v>0</v>
          </cell>
          <cell r="C668">
            <v>0.35</v>
          </cell>
        </row>
        <row r="669">
          <cell r="B669">
            <v>0</v>
          </cell>
          <cell r="C669">
            <v>0.3</v>
          </cell>
        </row>
        <row r="670">
          <cell r="B670">
            <v>0</v>
          </cell>
          <cell r="C670">
            <v>0.21</v>
          </cell>
        </row>
        <row r="671">
          <cell r="B671">
            <v>0</v>
          </cell>
          <cell r="C671">
            <v>0.1</v>
          </cell>
        </row>
        <row r="672">
          <cell r="B672">
            <v>0</v>
          </cell>
          <cell r="C672">
            <v>0.18</v>
          </cell>
        </row>
        <row r="673">
          <cell r="B673">
            <v>0</v>
          </cell>
          <cell r="C673">
            <v>0.02</v>
          </cell>
        </row>
        <row r="674">
          <cell r="B674">
            <v>0</v>
          </cell>
          <cell r="C674">
            <v>0.15</v>
          </cell>
        </row>
        <row r="675">
          <cell r="B675">
            <v>0</v>
          </cell>
          <cell r="C675">
            <v>0.27</v>
          </cell>
        </row>
        <row r="676">
          <cell r="B676">
            <v>0</v>
          </cell>
          <cell r="C676">
            <v>0.2</v>
          </cell>
        </row>
        <row r="677">
          <cell r="B677">
            <v>0</v>
          </cell>
          <cell r="C677">
            <v>0.22</v>
          </cell>
        </row>
        <row r="678">
          <cell r="B678">
            <v>0</v>
          </cell>
          <cell r="C678">
            <v>0.15</v>
          </cell>
        </row>
        <row r="679">
          <cell r="B679">
            <v>0</v>
          </cell>
          <cell r="C679">
            <v>0.3</v>
          </cell>
        </row>
        <row r="680">
          <cell r="B680">
            <v>0</v>
          </cell>
          <cell r="C680">
            <v>0.31</v>
          </cell>
        </row>
        <row r="681">
          <cell r="B681">
            <v>0</v>
          </cell>
          <cell r="C681">
            <v>0.12</v>
          </cell>
        </row>
        <row r="682">
          <cell r="B682">
            <v>0</v>
          </cell>
          <cell r="C682">
            <v>0.23</v>
          </cell>
        </row>
        <row r="683">
          <cell r="B683">
            <v>0</v>
          </cell>
          <cell r="C683">
            <v>0.49</v>
          </cell>
        </row>
        <row r="684">
          <cell r="B684">
            <v>0</v>
          </cell>
          <cell r="C684">
            <v>0.25</v>
          </cell>
        </row>
        <row r="685">
          <cell r="B685">
            <v>0</v>
          </cell>
          <cell r="C685">
            <v>0.32</v>
          </cell>
        </row>
        <row r="686">
          <cell r="B686">
            <v>0</v>
          </cell>
          <cell r="C686">
            <v>7.0000000000000007E-2</v>
          </cell>
        </row>
        <row r="687">
          <cell r="B687">
            <v>0</v>
          </cell>
          <cell r="C687">
            <v>0.42</v>
          </cell>
        </row>
        <row r="688">
          <cell r="B688">
            <v>0</v>
          </cell>
          <cell r="C688">
            <v>0.06</v>
          </cell>
        </row>
        <row r="689">
          <cell r="B689">
            <v>0</v>
          </cell>
          <cell r="C689">
            <v>0.13</v>
          </cell>
        </row>
        <row r="690">
          <cell r="B690">
            <v>0</v>
          </cell>
          <cell r="C690">
            <v>0.47</v>
          </cell>
        </row>
        <row r="691">
          <cell r="B691">
            <v>0</v>
          </cell>
          <cell r="C691">
            <v>0.11</v>
          </cell>
        </row>
        <row r="692">
          <cell r="B692">
            <v>0</v>
          </cell>
          <cell r="C692">
            <v>0.32</v>
          </cell>
        </row>
        <row r="693">
          <cell r="B693">
            <v>0</v>
          </cell>
          <cell r="C693">
            <v>0.74</v>
          </cell>
        </row>
        <row r="694">
          <cell r="B694">
            <v>0</v>
          </cell>
          <cell r="C694">
            <v>0.14000000000000001</v>
          </cell>
        </row>
        <row r="695">
          <cell r="B695">
            <v>0</v>
          </cell>
          <cell r="C695">
            <v>0.26</v>
          </cell>
        </row>
        <row r="696">
          <cell r="B696">
            <v>0</v>
          </cell>
          <cell r="C696">
            <v>0.2</v>
          </cell>
        </row>
        <row r="697">
          <cell r="B697">
            <v>0</v>
          </cell>
          <cell r="C697">
            <v>0.34</v>
          </cell>
        </row>
        <row r="698">
          <cell r="B698">
            <v>0</v>
          </cell>
          <cell r="C698">
            <v>0.49</v>
          </cell>
        </row>
        <row r="699">
          <cell r="B699">
            <v>0</v>
          </cell>
          <cell r="C699">
            <v>0.11</v>
          </cell>
        </row>
        <row r="700">
          <cell r="B700">
            <v>0</v>
          </cell>
          <cell r="C700">
            <v>0.77</v>
          </cell>
        </row>
        <row r="701">
          <cell r="B701">
            <v>0</v>
          </cell>
          <cell r="C701">
            <v>0.65</v>
          </cell>
        </row>
        <row r="702">
          <cell r="B702">
            <v>0</v>
          </cell>
          <cell r="C702">
            <v>0.32</v>
          </cell>
        </row>
        <row r="703">
          <cell r="B703">
            <v>0</v>
          </cell>
          <cell r="C703">
            <v>0.43</v>
          </cell>
        </row>
        <row r="704">
          <cell r="B704">
            <v>0</v>
          </cell>
          <cell r="C704">
            <v>0.66</v>
          </cell>
        </row>
        <row r="705">
          <cell r="B705">
            <v>0</v>
          </cell>
          <cell r="C705">
            <v>0.4</v>
          </cell>
        </row>
        <row r="706">
          <cell r="B706">
            <v>0</v>
          </cell>
          <cell r="C706">
            <v>0.16</v>
          </cell>
        </row>
        <row r="707">
          <cell r="B707">
            <v>0</v>
          </cell>
          <cell r="C707">
            <v>0.03</v>
          </cell>
        </row>
        <row r="708">
          <cell r="B708">
            <v>0</v>
          </cell>
          <cell r="C708">
            <v>0.21</v>
          </cell>
        </row>
        <row r="709">
          <cell r="B709">
            <v>0</v>
          </cell>
          <cell r="C709">
            <v>0.12</v>
          </cell>
        </row>
        <row r="710">
          <cell r="B710">
            <v>0</v>
          </cell>
          <cell r="C710">
            <v>0.22</v>
          </cell>
        </row>
        <row r="711">
          <cell r="B711">
            <v>0</v>
          </cell>
          <cell r="C711">
            <v>0.02</v>
          </cell>
        </row>
        <row r="712">
          <cell r="B712">
            <v>0</v>
          </cell>
          <cell r="C712">
            <v>0.08</v>
          </cell>
        </row>
        <row r="713">
          <cell r="B713">
            <v>0</v>
          </cell>
          <cell r="C713">
            <v>0.13</v>
          </cell>
        </row>
        <row r="714">
          <cell r="B714">
            <v>0</v>
          </cell>
          <cell r="C714">
            <v>0.32</v>
          </cell>
        </row>
        <row r="715">
          <cell r="B715">
            <v>0</v>
          </cell>
          <cell r="C715">
            <v>0.14000000000000001</v>
          </cell>
        </row>
        <row r="716">
          <cell r="B716">
            <v>0</v>
          </cell>
          <cell r="C716">
            <v>0.49</v>
          </cell>
        </row>
        <row r="717">
          <cell r="B717">
            <v>0</v>
          </cell>
          <cell r="C717">
            <v>0.46</v>
          </cell>
        </row>
        <row r="718">
          <cell r="B718">
            <v>0</v>
          </cell>
          <cell r="C718">
            <v>0.19</v>
          </cell>
        </row>
        <row r="719">
          <cell r="B719">
            <v>0</v>
          </cell>
          <cell r="C719">
            <v>0.04</v>
          </cell>
        </row>
        <row r="720">
          <cell r="B720">
            <v>0</v>
          </cell>
          <cell r="C720">
            <v>0.1</v>
          </cell>
        </row>
        <row r="721">
          <cell r="B721">
            <v>0</v>
          </cell>
          <cell r="C721">
            <v>0.24</v>
          </cell>
        </row>
        <row r="722">
          <cell r="B722">
            <v>0</v>
          </cell>
          <cell r="C722">
            <v>0.16</v>
          </cell>
        </row>
        <row r="723">
          <cell r="B723">
            <v>0</v>
          </cell>
          <cell r="C723">
            <v>0.25</v>
          </cell>
        </row>
        <row r="724">
          <cell r="B724">
            <v>0</v>
          </cell>
          <cell r="C724">
            <v>0.01</v>
          </cell>
        </row>
        <row r="725">
          <cell r="B725">
            <v>0</v>
          </cell>
          <cell r="C725">
            <v>0.13</v>
          </cell>
        </row>
        <row r="726">
          <cell r="B726">
            <v>0</v>
          </cell>
          <cell r="C726">
            <v>0.21</v>
          </cell>
        </row>
        <row r="727">
          <cell r="B727">
            <v>0</v>
          </cell>
          <cell r="C727">
            <v>0.04</v>
          </cell>
        </row>
        <row r="728">
          <cell r="B728">
            <v>0</v>
          </cell>
          <cell r="C728">
            <v>0.25</v>
          </cell>
        </row>
        <row r="729">
          <cell r="B729">
            <v>0</v>
          </cell>
          <cell r="C729">
            <v>7.0000000000000007E-2</v>
          </cell>
        </row>
        <row r="730">
          <cell r="B730">
            <v>0</v>
          </cell>
          <cell r="C730">
            <v>0.32</v>
          </cell>
        </row>
        <row r="731">
          <cell r="B731">
            <v>0</v>
          </cell>
          <cell r="C731">
            <v>0.11</v>
          </cell>
        </row>
        <row r="732">
          <cell r="B732">
            <v>0</v>
          </cell>
          <cell r="C732">
            <v>0.12</v>
          </cell>
        </row>
        <row r="733">
          <cell r="B733">
            <v>0</v>
          </cell>
          <cell r="C733">
            <v>0.8</v>
          </cell>
        </row>
        <row r="734">
          <cell r="B734">
            <v>0</v>
          </cell>
          <cell r="C734">
            <v>0.02</v>
          </cell>
        </row>
        <row r="735">
          <cell r="B735">
            <v>0</v>
          </cell>
          <cell r="C735">
            <v>0.05</v>
          </cell>
        </row>
        <row r="736">
          <cell r="B736">
            <v>0</v>
          </cell>
          <cell r="C736">
            <v>0.37</v>
          </cell>
        </row>
        <row r="737">
          <cell r="B737">
            <v>0</v>
          </cell>
          <cell r="C737">
            <v>0.28999999999999998</v>
          </cell>
        </row>
        <row r="738">
          <cell r="B738">
            <v>0</v>
          </cell>
          <cell r="C738">
            <v>0.37</v>
          </cell>
        </row>
        <row r="739">
          <cell r="B739">
            <v>0</v>
          </cell>
          <cell r="C739">
            <v>0.49</v>
          </cell>
        </row>
        <row r="740">
          <cell r="B740">
            <v>0</v>
          </cell>
          <cell r="C740">
            <v>0.13</v>
          </cell>
        </row>
        <row r="741">
          <cell r="B741">
            <v>0</v>
          </cell>
          <cell r="C741">
            <v>0.19</v>
          </cell>
        </row>
        <row r="742">
          <cell r="B742">
            <v>0</v>
          </cell>
          <cell r="C742">
            <v>0.1</v>
          </cell>
        </row>
        <row r="743">
          <cell r="B743">
            <v>0</v>
          </cell>
          <cell r="C743">
            <v>0.39</v>
          </cell>
        </row>
        <row r="744">
          <cell r="B744">
            <v>0</v>
          </cell>
          <cell r="C744">
            <v>0.1</v>
          </cell>
        </row>
        <row r="745">
          <cell r="B745">
            <v>0</v>
          </cell>
          <cell r="C745">
            <v>0.14000000000000001</v>
          </cell>
        </row>
        <row r="746">
          <cell r="B746">
            <v>0</v>
          </cell>
          <cell r="C746">
            <v>0.49</v>
          </cell>
        </row>
        <row r="747">
          <cell r="B747">
            <v>0</v>
          </cell>
          <cell r="C747">
            <v>0.08</v>
          </cell>
        </row>
        <row r="748">
          <cell r="B748">
            <v>0</v>
          </cell>
          <cell r="C748">
            <v>0.1</v>
          </cell>
        </row>
        <row r="749">
          <cell r="B749">
            <v>0</v>
          </cell>
          <cell r="C749">
            <v>0.22</v>
          </cell>
        </row>
        <row r="750">
          <cell r="B750">
            <v>0</v>
          </cell>
          <cell r="C750">
            <v>0.71</v>
          </cell>
        </row>
        <row r="751">
          <cell r="B751">
            <v>0</v>
          </cell>
          <cell r="C751">
            <v>0.21</v>
          </cell>
        </row>
        <row r="752">
          <cell r="B752">
            <v>0</v>
          </cell>
          <cell r="C752">
            <v>0.06</v>
          </cell>
        </row>
        <row r="753">
          <cell r="B753">
            <v>0</v>
          </cell>
          <cell r="C753">
            <v>0.14000000000000001</v>
          </cell>
        </row>
        <row r="754">
          <cell r="B754">
            <v>0</v>
          </cell>
          <cell r="C754">
            <v>0.49</v>
          </cell>
        </row>
        <row r="755">
          <cell r="B755">
            <v>0</v>
          </cell>
          <cell r="C755">
            <v>0.26</v>
          </cell>
        </row>
        <row r="756">
          <cell r="B756">
            <v>0</v>
          </cell>
          <cell r="C756">
            <v>0.31</v>
          </cell>
        </row>
        <row r="757">
          <cell r="B757">
            <v>0</v>
          </cell>
          <cell r="C757">
            <v>0.19</v>
          </cell>
        </row>
        <row r="758">
          <cell r="B758">
            <v>0</v>
          </cell>
          <cell r="C758">
            <v>0.36</v>
          </cell>
        </row>
        <row r="759">
          <cell r="B759">
            <v>0</v>
          </cell>
          <cell r="C759">
            <v>0.15</v>
          </cell>
        </row>
        <row r="760">
          <cell r="B760">
            <v>0</v>
          </cell>
          <cell r="C760">
            <v>0.15</v>
          </cell>
        </row>
        <row r="761">
          <cell r="B761">
            <v>0</v>
          </cell>
          <cell r="C761">
            <v>0.1</v>
          </cell>
        </row>
        <row r="762">
          <cell r="B762">
            <v>0</v>
          </cell>
          <cell r="C762">
            <v>0.12</v>
          </cell>
        </row>
        <row r="763">
          <cell r="B763">
            <v>0</v>
          </cell>
          <cell r="C763">
            <v>0.45</v>
          </cell>
        </row>
        <row r="764">
          <cell r="B764">
            <v>0</v>
          </cell>
          <cell r="C764">
            <v>0.19</v>
          </cell>
        </row>
        <row r="765">
          <cell r="B765">
            <v>0</v>
          </cell>
          <cell r="C765">
            <v>0.06</v>
          </cell>
        </row>
        <row r="766">
          <cell r="B766">
            <v>0</v>
          </cell>
          <cell r="C766">
            <v>7.0000000000000007E-2</v>
          </cell>
        </row>
        <row r="767">
          <cell r="B767">
            <v>0</v>
          </cell>
          <cell r="C767">
            <v>0.1</v>
          </cell>
        </row>
        <row r="768">
          <cell r="B768">
            <v>0</v>
          </cell>
          <cell r="C768">
            <v>0.27</v>
          </cell>
        </row>
        <row r="769">
          <cell r="B769">
            <v>0</v>
          </cell>
          <cell r="C769">
            <v>0.12</v>
          </cell>
        </row>
        <row r="770">
          <cell r="B770">
            <v>0</v>
          </cell>
          <cell r="C770">
            <v>0.11</v>
          </cell>
        </row>
        <row r="771">
          <cell r="B771">
            <v>0</v>
          </cell>
          <cell r="C771">
            <v>0.49</v>
          </cell>
        </row>
        <row r="772">
          <cell r="B772">
            <v>0</v>
          </cell>
          <cell r="C772">
            <v>0.06</v>
          </cell>
        </row>
        <row r="773">
          <cell r="B773">
            <v>0</v>
          </cell>
          <cell r="C773">
            <v>0.13</v>
          </cell>
        </row>
        <row r="774">
          <cell r="B774">
            <v>0</v>
          </cell>
          <cell r="C774">
            <v>0.13</v>
          </cell>
        </row>
        <row r="775">
          <cell r="B775">
            <v>0</v>
          </cell>
          <cell r="C775">
            <v>0.44</v>
          </cell>
        </row>
        <row r="776">
          <cell r="B776">
            <v>0</v>
          </cell>
          <cell r="C776">
            <v>0.15</v>
          </cell>
        </row>
        <row r="777">
          <cell r="B777">
            <v>0</v>
          </cell>
          <cell r="C777">
            <v>0.02</v>
          </cell>
        </row>
        <row r="778">
          <cell r="B778">
            <v>0</v>
          </cell>
          <cell r="C778">
            <v>0.47</v>
          </cell>
        </row>
        <row r="779">
          <cell r="B779">
            <v>0</v>
          </cell>
          <cell r="C779">
            <v>0.12</v>
          </cell>
        </row>
        <row r="780">
          <cell r="B780">
            <v>0</v>
          </cell>
          <cell r="C780">
            <v>0.14000000000000001</v>
          </cell>
        </row>
        <row r="781">
          <cell r="B781">
            <v>0</v>
          </cell>
          <cell r="C781">
            <v>0.51</v>
          </cell>
        </row>
        <row r="782">
          <cell r="B782">
            <v>0</v>
          </cell>
          <cell r="C782">
            <v>0.28000000000000003</v>
          </cell>
        </row>
        <row r="783">
          <cell r="B783">
            <v>0</v>
          </cell>
          <cell r="C783">
            <v>0.15</v>
          </cell>
        </row>
        <row r="784">
          <cell r="B784">
            <v>0</v>
          </cell>
          <cell r="C784">
            <v>0.49</v>
          </cell>
        </row>
        <row r="785">
          <cell r="B785">
            <v>0</v>
          </cell>
          <cell r="C785">
            <v>0.08</v>
          </cell>
        </row>
        <row r="786">
          <cell r="B786">
            <v>0</v>
          </cell>
          <cell r="C786">
            <v>0.05</v>
          </cell>
        </row>
        <row r="787">
          <cell r="B787">
            <v>0</v>
          </cell>
          <cell r="C787">
            <v>0.67</v>
          </cell>
        </row>
        <row r="788">
          <cell r="B788">
            <v>0</v>
          </cell>
          <cell r="C788">
            <v>0.44</v>
          </cell>
        </row>
        <row r="789">
          <cell r="B789">
            <v>0</v>
          </cell>
          <cell r="C789">
            <v>0.04</v>
          </cell>
        </row>
        <row r="790">
          <cell r="B790">
            <v>0</v>
          </cell>
          <cell r="C790">
            <v>0.34</v>
          </cell>
        </row>
        <row r="791">
          <cell r="B791">
            <v>0</v>
          </cell>
          <cell r="C791">
            <v>0.15</v>
          </cell>
        </row>
        <row r="792">
          <cell r="B792">
            <v>0</v>
          </cell>
          <cell r="C792">
            <v>0.46</v>
          </cell>
        </row>
        <row r="793">
          <cell r="B793">
            <v>0</v>
          </cell>
          <cell r="C793">
            <v>0.57999999999999996</v>
          </cell>
        </row>
        <row r="794">
          <cell r="B794">
            <v>0</v>
          </cell>
          <cell r="C794">
            <v>0.28000000000000003</v>
          </cell>
        </row>
        <row r="795">
          <cell r="B795">
            <v>0</v>
          </cell>
          <cell r="C795">
            <v>0.19</v>
          </cell>
        </row>
        <row r="796">
          <cell r="B796">
            <v>0</v>
          </cell>
          <cell r="C796">
            <v>0.19</v>
          </cell>
        </row>
        <row r="797">
          <cell r="B797">
            <v>0</v>
          </cell>
          <cell r="C797">
            <v>0.49</v>
          </cell>
        </row>
        <row r="798">
          <cell r="B798">
            <v>0</v>
          </cell>
          <cell r="C798">
            <v>0.23</v>
          </cell>
        </row>
        <row r="799">
          <cell r="B799">
            <v>0</v>
          </cell>
          <cell r="C799">
            <v>0.44</v>
          </cell>
        </row>
        <row r="800">
          <cell r="B800">
            <v>0</v>
          </cell>
          <cell r="C800">
            <v>0.09</v>
          </cell>
        </row>
        <row r="801">
          <cell r="B801">
            <v>0</v>
          </cell>
          <cell r="C801">
            <v>0.23</v>
          </cell>
        </row>
        <row r="802">
          <cell r="B802">
            <v>0</v>
          </cell>
          <cell r="C802">
            <v>0.24</v>
          </cell>
        </row>
        <row r="803">
          <cell r="B803">
            <v>0</v>
          </cell>
          <cell r="C803">
            <v>0.28000000000000003</v>
          </cell>
        </row>
        <row r="804">
          <cell r="B804">
            <v>0</v>
          </cell>
          <cell r="C804">
            <v>0.09</v>
          </cell>
        </row>
        <row r="805">
          <cell r="B805">
            <v>0</v>
          </cell>
          <cell r="C805">
            <v>0.31</v>
          </cell>
        </row>
        <row r="806">
          <cell r="B806">
            <v>0</v>
          </cell>
          <cell r="C806">
            <v>0.27</v>
          </cell>
        </row>
        <row r="807">
          <cell r="B807">
            <v>0</v>
          </cell>
          <cell r="C807">
            <v>0.49</v>
          </cell>
        </row>
        <row r="808">
          <cell r="B808">
            <v>0</v>
          </cell>
          <cell r="C808">
            <v>0.49</v>
          </cell>
        </row>
        <row r="809">
          <cell r="B809">
            <v>0</v>
          </cell>
          <cell r="C809">
            <v>0.33</v>
          </cell>
        </row>
        <row r="810">
          <cell r="B810">
            <v>0</v>
          </cell>
          <cell r="C810">
            <v>0.36</v>
          </cell>
        </row>
        <row r="811">
          <cell r="B811">
            <v>0</v>
          </cell>
          <cell r="C811">
            <v>0.49</v>
          </cell>
        </row>
        <row r="812">
          <cell r="B812">
            <v>0</v>
          </cell>
          <cell r="C812">
            <v>0.2</v>
          </cell>
        </row>
        <row r="813">
          <cell r="B813">
            <v>0</v>
          </cell>
          <cell r="C813">
            <v>0.28999999999999998</v>
          </cell>
        </row>
        <row r="814">
          <cell r="B814">
            <v>0</v>
          </cell>
          <cell r="C814">
            <v>0.17</v>
          </cell>
        </row>
        <row r="815">
          <cell r="B815">
            <v>0</v>
          </cell>
          <cell r="C815">
            <v>0.23</v>
          </cell>
        </row>
        <row r="816">
          <cell r="B816">
            <v>0</v>
          </cell>
          <cell r="C816">
            <v>0.13</v>
          </cell>
        </row>
        <row r="817">
          <cell r="B817">
            <v>1</v>
          </cell>
          <cell r="C817">
            <v>0.53</v>
          </cell>
        </row>
        <row r="818">
          <cell r="B818">
            <v>0</v>
          </cell>
          <cell r="C818">
            <v>0.49</v>
          </cell>
        </row>
        <row r="819">
          <cell r="B819">
            <v>0</v>
          </cell>
          <cell r="C819">
            <v>0.13</v>
          </cell>
        </row>
        <row r="820">
          <cell r="B820">
            <v>0</v>
          </cell>
          <cell r="C820">
            <v>0.09</v>
          </cell>
        </row>
        <row r="821">
          <cell r="B821">
            <v>0</v>
          </cell>
          <cell r="C821">
            <v>0.49</v>
          </cell>
        </row>
        <row r="822">
          <cell r="B822">
            <v>0</v>
          </cell>
          <cell r="C822">
            <v>0.06</v>
          </cell>
        </row>
        <row r="823">
          <cell r="B823">
            <v>0</v>
          </cell>
          <cell r="C823">
            <v>0.49</v>
          </cell>
        </row>
        <row r="824">
          <cell r="B824">
            <v>0</v>
          </cell>
          <cell r="C824">
            <v>0.23</v>
          </cell>
        </row>
        <row r="825">
          <cell r="B825">
            <v>0</v>
          </cell>
          <cell r="C825">
            <v>0.21</v>
          </cell>
        </row>
        <row r="826">
          <cell r="B826">
            <v>0</v>
          </cell>
          <cell r="C826">
            <v>0.06</v>
          </cell>
        </row>
        <row r="827">
          <cell r="B827">
            <v>0</v>
          </cell>
          <cell r="C827">
            <v>0.27</v>
          </cell>
        </row>
        <row r="828">
          <cell r="B828">
            <v>0</v>
          </cell>
          <cell r="C828">
            <v>7.0000000000000007E-2</v>
          </cell>
        </row>
        <row r="829">
          <cell r="B829">
            <v>0</v>
          </cell>
          <cell r="C829">
            <v>0.1</v>
          </cell>
        </row>
        <row r="830">
          <cell r="B830">
            <v>0</v>
          </cell>
          <cell r="C830">
            <v>0.34</v>
          </cell>
        </row>
        <row r="831">
          <cell r="B831">
            <v>0</v>
          </cell>
          <cell r="C831">
            <v>0.17</v>
          </cell>
        </row>
        <row r="832">
          <cell r="B832">
            <v>0</v>
          </cell>
          <cell r="C832">
            <v>0.18</v>
          </cell>
        </row>
        <row r="833">
          <cell r="B833">
            <v>0</v>
          </cell>
          <cell r="C833">
            <v>0.14000000000000001</v>
          </cell>
        </row>
        <row r="834">
          <cell r="B834">
            <v>0</v>
          </cell>
          <cell r="C834">
            <v>0.24</v>
          </cell>
        </row>
        <row r="835">
          <cell r="B835">
            <v>0</v>
          </cell>
          <cell r="C835">
            <v>0.24</v>
          </cell>
        </row>
        <row r="836">
          <cell r="B836">
            <v>0</v>
          </cell>
          <cell r="C836">
            <v>0.41</v>
          </cell>
        </row>
        <row r="837">
          <cell r="B837">
            <v>0</v>
          </cell>
          <cell r="C837">
            <v>7.0000000000000007E-2</v>
          </cell>
        </row>
        <row r="838">
          <cell r="B838">
            <v>0</v>
          </cell>
          <cell r="C838">
            <v>0.03</v>
          </cell>
        </row>
        <row r="839">
          <cell r="B839">
            <v>0</v>
          </cell>
          <cell r="C839">
            <v>0.22</v>
          </cell>
        </row>
        <row r="840">
          <cell r="B840">
            <v>0</v>
          </cell>
          <cell r="C840">
            <v>0.38</v>
          </cell>
        </row>
        <row r="841">
          <cell r="B841">
            <v>0</v>
          </cell>
          <cell r="C841">
            <v>0.11</v>
          </cell>
        </row>
        <row r="842">
          <cell r="B842">
            <v>0</v>
          </cell>
          <cell r="C842">
            <v>0.12</v>
          </cell>
        </row>
        <row r="843">
          <cell r="B843">
            <v>0</v>
          </cell>
          <cell r="C843">
            <v>7.0000000000000007E-2</v>
          </cell>
        </row>
        <row r="844">
          <cell r="B844">
            <v>0</v>
          </cell>
          <cell r="C844">
            <v>0.43</v>
          </cell>
        </row>
        <row r="845">
          <cell r="B845">
            <v>0</v>
          </cell>
          <cell r="C845">
            <v>7.0000000000000007E-2</v>
          </cell>
        </row>
        <row r="846">
          <cell r="B846">
            <v>0</v>
          </cell>
          <cell r="C846">
            <v>0.08</v>
          </cell>
        </row>
        <row r="847">
          <cell r="B847">
            <v>0</v>
          </cell>
          <cell r="C847">
            <v>7.0000000000000007E-2</v>
          </cell>
        </row>
        <row r="848">
          <cell r="B848">
            <v>0</v>
          </cell>
          <cell r="C848">
            <v>0.15</v>
          </cell>
        </row>
        <row r="849">
          <cell r="B849">
            <v>0</v>
          </cell>
          <cell r="C849">
            <v>0.2</v>
          </cell>
        </row>
        <row r="850">
          <cell r="B850">
            <v>0</v>
          </cell>
          <cell r="C850">
            <v>0.26</v>
          </cell>
        </row>
        <row r="851">
          <cell r="B851">
            <v>0</v>
          </cell>
          <cell r="C851">
            <v>0.24</v>
          </cell>
        </row>
        <row r="852">
          <cell r="B852">
            <v>0</v>
          </cell>
          <cell r="C852">
            <v>0.23</v>
          </cell>
        </row>
        <row r="853">
          <cell r="B853">
            <v>0</v>
          </cell>
          <cell r="C853">
            <v>0.03</v>
          </cell>
        </row>
        <row r="854">
          <cell r="B854">
            <v>0</v>
          </cell>
          <cell r="C854">
            <v>0.08</v>
          </cell>
        </row>
        <row r="855">
          <cell r="B855">
            <v>0</v>
          </cell>
          <cell r="C855">
            <v>0.04</v>
          </cell>
        </row>
        <row r="856">
          <cell r="B856">
            <v>1</v>
          </cell>
          <cell r="C856">
            <v>0.74</v>
          </cell>
        </row>
        <row r="857">
          <cell r="B857">
            <v>0</v>
          </cell>
          <cell r="C857">
            <v>0.42</v>
          </cell>
        </row>
        <row r="858">
          <cell r="B858">
            <v>0</v>
          </cell>
          <cell r="C858">
            <v>0.13</v>
          </cell>
        </row>
        <row r="859">
          <cell r="B859">
            <v>0</v>
          </cell>
          <cell r="C859">
            <v>0.01</v>
          </cell>
        </row>
        <row r="860">
          <cell r="B860">
            <v>0</v>
          </cell>
          <cell r="C860">
            <v>0.14000000000000001</v>
          </cell>
        </row>
        <row r="861">
          <cell r="B861">
            <v>0</v>
          </cell>
          <cell r="C861">
            <v>0.18</v>
          </cell>
        </row>
        <row r="862">
          <cell r="B862">
            <v>0</v>
          </cell>
          <cell r="C862">
            <v>0.06</v>
          </cell>
        </row>
        <row r="863">
          <cell r="B863">
            <v>0</v>
          </cell>
          <cell r="C863">
            <v>0.19</v>
          </cell>
        </row>
        <row r="864">
          <cell r="B864">
            <v>0</v>
          </cell>
          <cell r="C864">
            <v>0.49</v>
          </cell>
        </row>
        <row r="865">
          <cell r="B865">
            <v>0</v>
          </cell>
          <cell r="C865">
            <v>0.27</v>
          </cell>
        </row>
        <row r="866">
          <cell r="B866">
            <v>0</v>
          </cell>
          <cell r="C866">
            <v>0.38</v>
          </cell>
        </row>
        <row r="867">
          <cell r="B867">
            <v>0</v>
          </cell>
          <cell r="C867">
            <v>0.49</v>
          </cell>
        </row>
        <row r="868">
          <cell r="B868">
            <v>1</v>
          </cell>
          <cell r="C868">
            <v>0.59</v>
          </cell>
        </row>
        <row r="869">
          <cell r="B869">
            <v>0</v>
          </cell>
          <cell r="C869">
            <v>0.16</v>
          </cell>
        </row>
        <row r="870">
          <cell r="B870">
            <v>0</v>
          </cell>
          <cell r="C870">
            <v>0.11</v>
          </cell>
        </row>
        <row r="871">
          <cell r="B871">
            <v>0</v>
          </cell>
          <cell r="C871">
            <v>0.23</v>
          </cell>
        </row>
        <row r="872">
          <cell r="B872">
            <v>0</v>
          </cell>
          <cell r="C872">
            <v>0.76</v>
          </cell>
        </row>
        <row r="873">
          <cell r="B873">
            <v>0</v>
          </cell>
          <cell r="C873">
            <v>0.4</v>
          </cell>
        </row>
        <row r="874">
          <cell r="B874">
            <v>0</v>
          </cell>
          <cell r="C874">
            <v>0.08</v>
          </cell>
        </row>
        <row r="875">
          <cell r="B875">
            <v>0</v>
          </cell>
          <cell r="C875">
            <v>0.1</v>
          </cell>
        </row>
        <row r="876">
          <cell r="B876">
            <v>0</v>
          </cell>
          <cell r="C876">
            <v>0.12</v>
          </cell>
        </row>
        <row r="877">
          <cell r="B877">
            <v>0</v>
          </cell>
          <cell r="C877">
            <v>0.35</v>
          </cell>
        </row>
        <row r="878">
          <cell r="B878">
            <v>0</v>
          </cell>
          <cell r="C878">
            <v>0.21</v>
          </cell>
        </row>
        <row r="879">
          <cell r="B879">
            <v>0</v>
          </cell>
          <cell r="C879">
            <v>0.16</v>
          </cell>
        </row>
        <row r="880">
          <cell r="B880">
            <v>0</v>
          </cell>
          <cell r="C880">
            <v>0.16</v>
          </cell>
        </row>
        <row r="881">
          <cell r="B881">
            <v>0</v>
          </cell>
          <cell r="C881">
            <v>0.49</v>
          </cell>
        </row>
        <row r="882">
          <cell r="B882">
            <v>0</v>
          </cell>
          <cell r="C882">
            <v>0.15</v>
          </cell>
        </row>
        <row r="883">
          <cell r="B883">
            <v>0</v>
          </cell>
          <cell r="C883">
            <v>0.08</v>
          </cell>
        </row>
        <row r="884">
          <cell r="B884">
            <v>0</v>
          </cell>
          <cell r="C884">
            <v>0.49</v>
          </cell>
        </row>
        <row r="885">
          <cell r="B885">
            <v>0</v>
          </cell>
          <cell r="C885">
            <v>0.18</v>
          </cell>
        </row>
        <row r="886">
          <cell r="B886">
            <v>0</v>
          </cell>
          <cell r="C886">
            <v>0.14000000000000001</v>
          </cell>
        </row>
        <row r="887">
          <cell r="B887">
            <v>0</v>
          </cell>
          <cell r="C887">
            <v>0.41</v>
          </cell>
        </row>
        <row r="888">
          <cell r="B888">
            <v>0</v>
          </cell>
          <cell r="C888">
            <v>0.05</v>
          </cell>
        </row>
        <row r="889">
          <cell r="B889">
            <v>0</v>
          </cell>
          <cell r="C889">
            <v>0.23</v>
          </cell>
        </row>
        <row r="890">
          <cell r="B890">
            <v>0</v>
          </cell>
          <cell r="C890">
            <v>0.04</v>
          </cell>
        </row>
        <row r="891">
          <cell r="B891">
            <v>0</v>
          </cell>
          <cell r="C891">
            <v>0.27</v>
          </cell>
        </row>
        <row r="892">
          <cell r="B892">
            <v>0</v>
          </cell>
          <cell r="C892">
            <v>0.18</v>
          </cell>
        </row>
        <row r="893">
          <cell r="B893">
            <v>0</v>
          </cell>
          <cell r="C893">
            <v>0.09</v>
          </cell>
        </row>
        <row r="894">
          <cell r="B894">
            <v>0</v>
          </cell>
          <cell r="C894">
            <v>0.48</v>
          </cell>
        </row>
        <row r="895">
          <cell r="B895">
            <v>0</v>
          </cell>
          <cell r="C895">
            <v>0.49</v>
          </cell>
        </row>
        <row r="896">
          <cell r="B896">
            <v>0</v>
          </cell>
          <cell r="C896">
            <v>0.14000000000000001</v>
          </cell>
        </row>
        <row r="897">
          <cell r="B897">
            <v>0</v>
          </cell>
          <cell r="C897">
            <v>0.04</v>
          </cell>
        </row>
        <row r="898">
          <cell r="B898">
            <v>0</v>
          </cell>
          <cell r="C898">
            <v>0.37</v>
          </cell>
        </row>
        <row r="899">
          <cell r="B899">
            <v>0</v>
          </cell>
          <cell r="C899">
            <v>0.47</v>
          </cell>
        </row>
        <row r="900">
          <cell r="B900">
            <v>0</v>
          </cell>
          <cell r="C900">
            <v>0.3</v>
          </cell>
        </row>
        <row r="901">
          <cell r="B901">
            <v>0</v>
          </cell>
          <cell r="C901">
            <v>0.4</v>
          </cell>
        </row>
        <row r="902">
          <cell r="B902">
            <v>0</v>
          </cell>
          <cell r="C902">
            <v>0.36</v>
          </cell>
        </row>
        <row r="903">
          <cell r="B903">
            <v>0</v>
          </cell>
          <cell r="C903">
            <v>0.19</v>
          </cell>
        </row>
        <row r="904">
          <cell r="B904">
            <v>0</v>
          </cell>
          <cell r="C904">
            <v>0.01</v>
          </cell>
        </row>
        <row r="905">
          <cell r="B905">
            <v>0</v>
          </cell>
          <cell r="C905">
            <v>0.11</v>
          </cell>
        </row>
        <row r="906">
          <cell r="B906">
            <v>0</v>
          </cell>
          <cell r="C906">
            <v>0.42</v>
          </cell>
        </row>
        <row r="907">
          <cell r="B907">
            <v>0</v>
          </cell>
          <cell r="C907">
            <v>0.28999999999999998</v>
          </cell>
        </row>
        <row r="908">
          <cell r="B908">
            <v>0</v>
          </cell>
          <cell r="C908">
            <v>0.13</v>
          </cell>
        </row>
        <row r="909">
          <cell r="B909">
            <v>0</v>
          </cell>
          <cell r="C909">
            <v>0.23</v>
          </cell>
        </row>
        <row r="910">
          <cell r="B910">
            <v>0</v>
          </cell>
          <cell r="C910">
            <v>0.15</v>
          </cell>
        </row>
        <row r="911">
          <cell r="B911">
            <v>0</v>
          </cell>
          <cell r="C911">
            <v>0.09</v>
          </cell>
        </row>
        <row r="912">
          <cell r="B912">
            <v>0</v>
          </cell>
          <cell r="C912">
            <v>0.16</v>
          </cell>
        </row>
        <row r="913">
          <cell r="B913">
            <v>0</v>
          </cell>
          <cell r="C913">
            <v>0.04</v>
          </cell>
        </row>
        <row r="914">
          <cell r="B914">
            <v>0</v>
          </cell>
          <cell r="C914">
            <v>0.27</v>
          </cell>
        </row>
        <row r="915">
          <cell r="B915">
            <v>0</v>
          </cell>
          <cell r="C915">
            <v>0.08</v>
          </cell>
        </row>
        <row r="916">
          <cell r="B916">
            <v>0</v>
          </cell>
          <cell r="C916">
            <v>0.14000000000000001</v>
          </cell>
        </row>
        <row r="917">
          <cell r="B917">
            <v>0</v>
          </cell>
          <cell r="C917">
            <v>0.23</v>
          </cell>
        </row>
        <row r="918">
          <cell r="B918">
            <v>0</v>
          </cell>
          <cell r="C918">
            <v>0.19</v>
          </cell>
        </row>
        <row r="919">
          <cell r="B919">
            <v>0</v>
          </cell>
          <cell r="C919">
            <v>0.34</v>
          </cell>
        </row>
        <row r="920">
          <cell r="B920">
            <v>0</v>
          </cell>
          <cell r="C920">
            <v>0.27</v>
          </cell>
        </row>
        <row r="921">
          <cell r="B921">
            <v>0</v>
          </cell>
          <cell r="C921">
            <v>0.24</v>
          </cell>
        </row>
        <row r="922">
          <cell r="B922">
            <v>0</v>
          </cell>
          <cell r="C922">
            <v>0.31</v>
          </cell>
        </row>
        <row r="923">
          <cell r="B923">
            <v>0</v>
          </cell>
          <cell r="C923">
            <v>0.28000000000000003</v>
          </cell>
        </row>
        <row r="924">
          <cell r="B924">
            <v>0</v>
          </cell>
          <cell r="C924">
            <v>0.13</v>
          </cell>
        </row>
        <row r="925">
          <cell r="B925">
            <v>0</v>
          </cell>
          <cell r="C925">
            <v>0.28000000000000003</v>
          </cell>
        </row>
        <row r="926">
          <cell r="B926">
            <v>0</v>
          </cell>
          <cell r="C926">
            <v>0.67</v>
          </cell>
        </row>
        <row r="927">
          <cell r="B927">
            <v>0</v>
          </cell>
          <cell r="C927">
            <v>0.31</v>
          </cell>
        </row>
        <row r="928">
          <cell r="B928">
            <v>0</v>
          </cell>
          <cell r="C928">
            <v>0.24</v>
          </cell>
        </row>
        <row r="929">
          <cell r="B929">
            <v>0</v>
          </cell>
          <cell r="C929">
            <v>0.17</v>
          </cell>
        </row>
        <row r="930">
          <cell r="B930">
            <v>0</v>
          </cell>
          <cell r="C930">
            <v>0.46</v>
          </cell>
        </row>
        <row r="931">
          <cell r="B931">
            <v>0</v>
          </cell>
          <cell r="C931">
            <v>0.09</v>
          </cell>
        </row>
        <row r="932">
          <cell r="B932">
            <v>0</v>
          </cell>
          <cell r="C932">
            <v>0.4</v>
          </cell>
        </row>
        <row r="933">
          <cell r="B933">
            <v>0</v>
          </cell>
          <cell r="C933">
            <v>0.49</v>
          </cell>
        </row>
        <row r="934">
          <cell r="B934">
            <v>0</v>
          </cell>
          <cell r="C934">
            <v>0.37</v>
          </cell>
        </row>
        <row r="935">
          <cell r="B935">
            <v>0</v>
          </cell>
          <cell r="C935">
            <v>0.21</v>
          </cell>
        </row>
        <row r="936">
          <cell r="B936">
            <v>0</v>
          </cell>
          <cell r="C936">
            <v>0.24</v>
          </cell>
        </row>
        <row r="937">
          <cell r="B937">
            <v>0</v>
          </cell>
          <cell r="C937">
            <v>0.13</v>
          </cell>
        </row>
        <row r="938">
          <cell r="B938">
            <v>0</v>
          </cell>
          <cell r="C938">
            <v>0.81</v>
          </cell>
        </row>
        <row r="939">
          <cell r="B939">
            <v>0</v>
          </cell>
          <cell r="C939">
            <v>0.08</v>
          </cell>
        </row>
        <row r="940">
          <cell r="B940">
            <v>0</v>
          </cell>
          <cell r="C940">
            <v>0.44</v>
          </cell>
        </row>
        <row r="941">
          <cell r="B941">
            <v>0</v>
          </cell>
          <cell r="C941">
            <v>0.27</v>
          </cell>
        </row>
        <row r="942">
          <cell r="B942">
            <v>0</v>
          </cell>
          <cell r="C942">
            <v>0.23</v>
          </cell>
        </row>
        <row r="943">
          <cell r="B943">
            <v>0</v>
          </cell>
          <cell r="C943">
            <v>0.19</v>
          </cell>
        </row>
        <row r="944">
          <cell r="B944">
            <v>0</v>
          </cell>
          <cell r="C944">
            <v>0.02</v>
          </cell>
        </row>
        <row r="945">
          <cell r="B945">
            <v>0</v>
          </cell>
          <cell r="C945">
            <v>7.0000000000000007E-2</v>
          </cell>
        </row>
        <row r="946">
          <cell r="B946">
            <v>0</v>
          </cell>
          <cell r="C946">
            <v>0.19</v>
          </cell>
        </row>
        <row r="947">
          <cell r="B947">
            <v>0</v>
          </cell>
          <cell r="C947">
            <v>0.18</v>
          </cell>
        </row>
        <row r="948">
          <cell r="B948">
            <v>1</v>
          </cell>
          <cell r="C948">
            <v>0.44</v>
          </cell>
        </row>
        <row r="949">
          <cell r="B949">
            <v>0</v>
          </cell>
          <cell r="C949">
            <v>0.09</v>
          </cell>
        </row>
        <row r="950">
          <cell r="B950">
            <v>0</v>
          </cell>
          <cell r="C950">
            <v>0.06</v>
          </cell>
        </row>
        <row r="951">
          <cell r="B951">
            <v>0</v>
          </cell>
          <cell r="C951">
            <v>0.16</v>
          </cell>
        </row>
        <row r="952">
          <cell r="B952">
            <v>0</v>
          </cell>
          <cell r="C952">
            <v>0.12</v>
          </cell>
        </row>
        <row r="953">
          <cell r="B953">
            <v>0</v>
          </cell>
          <cell r="C953">
            <v>0.2</v>
          </cell>
        </row>
        <row r="954">
          <cell r="B954">
            <v>0</v>
          </cell>
          <cell r="C954">
            <v>0.3</v>
          </cell>
        </row>
        <row r="955">
          <cell r="B955">
            <v>0</v>
          </cell>
          <cell r="C955">
            <v>0.02</v>
          </cell>
        </row>
        <row r="956">
          <cell r="B956">
            <v>0</v>
          </cell>
          <cell r="C956">
            <v>0.42</v>
          </cell>
        </row>
        <row r="957">
          <cell r="B957">
            <v>0</v>
          </cell>
          <cell r="C957">
            <v>0.04</v>
          </cell>
        </row>
        <row r="958">
          <cell r="B958">
            <v>0</v>
          </cell>
          <cell r="C958">
            <v>0.26</v>
          </cell>
        </row>
        <row r="959">
          <cell r="B959">
            <v>0</v>
          </cell>
          <cell r="C959">
            <v>0.14000000000000001</v>
          </cell>
        </row>
        <row r="960">
          <cell r="B960">
            <v>0</v>
          </cell>
          <cell r="C960">
            <v>0.43</v>
          </cell>
        </row>
        <row r="961">
          <cell r="B961">
            <v>0</v>
          </cell>
          <cell r="C961">
            <v>0.14000000000000001</v>
          </cell>
        </row>
        <row r="962">
          <cell r="B962">
            <v>0</v>
          </cell>
          <cell r="C962">
            <v>0.28000000000000003</v>
          </cell>
        </row>
        <row r="963">
          <cell r="B963">
            <v>0</v>
          </cell>
          <cell r="C963">
            <v>0.18</v>
          </cell>
        </row>
        <row r="964">
          <cell r="B964">
            <v>0</v>
          </cell>
          <cell r="C964">
            <v>0.09</v>
          </cell>
        </row>
        <row r="965">
          <cell r="B965">
            <v>0</v>
          </cell>
          <cell r="C965">
            <v>0.1</v>
          </cell>
        </row>
        <row r="966">
          <cell r="B966">
            <v>0</v>
          </cell>
          <cell r="C966">
            <v>0.08</v>
          </cell>
        </row>
        <row r="967">
          <cell r="B967">
            <v>0</v>
          </cell>
          <cell r="C967">
            <v>0.02</v>
          </cell>
        </row>
        <row r="968">
          <cell r="B968">
            <v>0</v>
          </cell>
          <cell r="C968">
            <v>0.49</v>
          </cell>
        </row>
        <row r="969">
          <cell r="B969">
            <v>0</v>
          </cell>
          <cell r="C969">
            <v>0.22</v>
          </cell>
        </row>
        <row r="970">
          <cell r="B970">
            <v>0</v>
          </cell>
          <cell r="C970">
            <v>0.13</v>
          </cell>
        </row>
        <row r="971">
          <cell r="B971">
            <v>0</v>
          </cell>
          <cell r="C971">
            <v>0.05</v>
          </cell>
        </row>
        <row r="972">
          <cell r="B972">
            <v>0</v>
          </cell>
          <cell r="C972">
            <v>0.18</v>
          </cell>
        </row>
        <row r="973">
          <cell r="B973">
            <v>0</v>
          </cell>
          <cell r="C973">
            <v>0.26</v>
          </cell>
        </row>
        <row r="974">
          <cell r="B974">
            <v>0</v>
          </cell>
          <cell r="C974">
            <v>0.41</v>
          </cell>
        </row>
        <row r="975">
          <cell r="B975">
            <v>0</v>
          </cell>
          <cell r="C975">
            <v>0.17</v>
          </cell>
        </row>
        <row r="976">
          <cell r="B976">
            <v>0</v>
          </cell>
          <cell r="C976">
            <v>0.19</v>
          </cell>
        </row>
        <row r="977">
          <cell r="B977">
            <v>0</v>
          </cell>
          <cell r="C977">
            <v>0.34</v>
          </cell>
        </row>
        <row r="978">
          <cell r="B978">
            <v>0</v>
          </cell>
          <cell r="C978">
            <v>0.26</v>
          </cell>
        </row>
        <row r="979">
          <cell r="B979">
            <v>0</v>
          </cell>
          <cell r="C979">
            <v>0.18</v>
          </cell>
        </row>
        <row r="980">
          <cell r="B980">
            <v>0</v>
          </cell>
          <cell r="C980">
            <v>0.05</v>
          </cell>
        </row>
        <row r="981">
          <cell r="B981">
            <v>0</v>
          </cell>
          <cell r="C981">
            <v>0.19</v>
          </cell>
        </row>
        <row r="982">
          <cell r="B982">
            <v>0</v>
          </cell>
          <cell r="C982">
            <v>0.05</v>
          </cell>
        </row>
        <row r="983">
          <cell r="B983">
            <v>0</v>
          </cell>
          <cell r="C983">
            <v>0.13</v>
          </cell>
        </row>
        <row r="984">
          <cell r="B984">
            <v>0</v>
          </cell>
          <cell r="C984">
            <v>0.14000000000000001</v>
          </cell>
        </row>
        <row r="985">
          <cell r="B985">
            <v>0</v>
          </cell>
          <cell r="C985">
            <v>0.26</v>
          </cell>
        </row>
        <row r="986">
          <cell r="B986">
            <v>0</v>
          </cell>
          <cell r="C986">
            <v>0.28000000000000003</v>
          </cell>
        </row>
        <row r="987">
          <cell r="B987">
            <v>0</v>
          </cell>
          <cell r="C987">
            <v>0.49</v>
          </cell>
        </row>
        <row r="988">
          <cell r="B988">
            <v>0</v>
          </cell>
          <cell r="C988">
            <v>0.48</v>
          </cell>
        </row>
        <row r="989">
          <cell r="B989">
            <v>0</v>
          </cell>
          <cell r="C989">
            <v>0.27</v>
          </cell>
        </row>
        <row r="990">
          <cell r="B990">
            <v>0</v>
          </cell>
          <cell r="C990">
            <v>7.0000000000000007E-2</v>
          </cell>
        </row>
        <row r="991">
          <cell r="B991">
            <v>0</v>
          </cell>
          <cell r="C991">
            <v>0.19</v>
          </cell>
        </row>
        <row r="992">
          <cell r="B992">
            <v>0</v>
          </cell>
          <cell r="C992">
            <v>0.1</v>
          </cell>
        </row>
        <row r="993">
          <cell r="B993">
            <v>0</v>
          </cell>
          <cell r="C993">
            <v>0.19</v>
          </cell>
        </row>
        <row r="994">
          <cell r="B994">
            <v>0</v>
          </cell>
          <cell r="C994">
            <v>0.01</v>
          </cell>
        </row>
        <row r="995">
          <cell r="B995">
            <v>0</v>
          </cell>
          <cell r="C995">
            <v>0.09</v>
          </cell>
        </row>
        <row r="996">
          <cell r="B996">
            <v>0</v>
          </cell>
          <cell r="C996">
            <v>0.26</v>
          </cell>
        </row>
        <row r="997">
          <cell r="B997">
            <v>0</v>
          </cell>
          <cell r="C997">
            <v>0.49</v>
          </cell>
        </row>
        <row r="998">
          <cell r="B998">
            <v>0</v>
          </cell>
          <cell r="C998">
            <v>0.49</v>
          </cell>
        </row>
        <row r="999">
          <cell r="B999">
            <v>0</v>
          </cell>
          <cell r="C999">
            <v>0.18</v>
          </cell>
        </row>
        <row r="1000">
          <cell r="B1000">
            <v>0</v>
          </cell>
          <cell r="C1000">
            <v>0.24</v>
          </cell>
        </row>
        <row r="1001">
          <cell r="B1001">
            <v>0</v>
          </cell>
          <cell r="C1001">
            <v>0.26</v>
          </cell>
        </row>
      </sheetData>
      <sheetData sheetId="2">
        <row r="4">
          <cell r="H4">
            <v>0.94676767676767681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247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264</v>
      </c>
    </row>
    <row r="37" spans="1:1" x14ac:dyDescent="0.45">
      <c r="A37" s="2" t="s">
        <v>285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302</v>
      </c>
    </row>
    <row r="42" spans="1:1" x14ac:dyDescent="0.45">
      <c r="A42" s="2" t="s">
        <v>384</v>
      </c>
    </row>
    <row r="43" spans="1:1" x14ac:dyDescent="0.45">
      <c r="A43" s="2" t="s">
        <v>223</v>
      </c>
    </row>
    <row r="44" spans="1:1" x14ac:dyDescent="0.45">
      <c r="A44" s="2" t="s">
        <v>224</v>
      </c>
    </row>
    <row r="45" spans="1:1" x14ac:dyDescent="0.45">
      <c r="A45" s="2" t="s">
        <v>229</v>
      </c>
    </row>
    <row r="46" spans="1:1" x14ac:dyDescent="0.45">
      <c r="A46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3" location="'Grid Search'!A1" display="Grid Search" xr:uid="{43780F07-C04F-4480-828E-3DB0D81059CB}"/>
    <hyperlink ref="A44" location="'Randomized Search'!A1" display="Randomized Search" xr:uid="{4F0C4605-5BB3-4E71-BFD9-ED49BCD84EAB}"/>
    <hyperlink ref="A45" location="'K-means Clustering'!A1" display="K-means Clustering" xr:uid="{AEC80EE7-FC88-4AF1-9863-60A3688A4596}"/>
    <hyperlink ref="A46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  <hyperlink ref="A42" location="'Confusion Matrix'!A1" display="Confusion Matrix" xr:uid="{4384BDB6-C099-4AC5-BE2D-EF1BAD72214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27" t="s">
        <v>197</v>
      </c>
      <c r="E1" s="127"/>
      <c r="F1" s="127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28" t="s">
        <v>165</v>
      </c>
      <c r="E1" s="128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2" t="s">
        <v>159</v>
      </c>
      <c r="H1" s="133"/>
      <c r="I1" s="133"/>
      <c r="J1" s="133"/>
      <c r="K1" s="134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35"/>
      <c r="H2" s="136"/>
      <c r="I2" s="136"/>
      <c r="J2" s="136"/>
      <c r="K2" s="137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38" t="s">
        <v>160</v>
      </c>
      <c r="H4" s="139"/>
      <c r="I4" s="139"/>
      <c r="J4" s="139"/>
      <c r="K4" s="140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29"/>
      <c r="H5" s="130"/>
      <c r="I5" s="130"/>
      <c r="J5" s="130"/>
      <c r="K5" s="131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27" t="s">
        <v>161</v>
      </c>
      <c r="B13" s="127"/>
      <c r="C13" s="127"/>
      <c r="D13" s="127"/>
      <c r="E13" s="127"/>
      <c r="G13" s="127" t="s">
        <v>162</v>
      </c>
      <c r="H13" s="127"/>
      <c r="I13" s="127"/>
      <c r="J13" s="127"/>
      <c r="K13" s="127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2" t="s">
        <v>159</v>
      </c>
      <c r="H1" s="133"/>
      <c r="I1" s="133"/>
      <c r="J1" s="133"/>
      <c r="K1" s="134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35">
        <f>COUNT(LeavePOutCrossValidation_Table[StudentID])</f>
        <v>10</v>
      </c>
      <c r="H2" s="136"/>
      <c r="I2" s="136"/>
      <c r="J2" s="136"/>
      <c r="K2" s="137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38" t="s">
        <v>164</v>
      </c>
      <c r="H4" s="139"/>
      <c r="I4" s="139"/>
      <c r="J4" s="139"/>
      <c r="K4" s="140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29"/>
      <c r="H5" s="130"/>
      <c r="I5" s="130"/>
      <c r="J5" s="130"/>
      <c r="K5" s="131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27" t="s">
        <v>161</v>
      </c>
      <c r="B13" s="127"/>
      <c r="C13" s="127"/>
      <c r="D13" s="127"/>
      <c r="E13" s="127"/>
      <c r="G13" s="127" t="s">
        <v>162</v>
      </c>
      <c r="H13" s="127"/>
      <c r="I13" s="127"/>
      <c r="J13" s="127"/>
      <c r="K13" s="127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41" t="s">
        <v>181</v>
      </c>
      <c r="E1" s="141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46" t="s">
        <v>181</v>
      </c>
      <c r="B1" s="147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42" t="s">
        <v>193</v>
      </c>
      <c r="D2" s="143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44"/>
      <c r="D3" s="145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88" t="s">
        <v>248</v>
      </c>
      <c r="B1" s="88" t="s">
        <v>249</v>
      </c>
      <c r="C1" s="88" t="s">
        <v>250</v>
      </c>
      <c r="D1" s="88" t="s">
        <v>251</v>
      </c>
      <c r="E1" s="88" t="s">
        <v>252</v>
      </c>
      <c r="F1" s="88"/>
      <c r="G1" s="88"/>
      <c r="H1" s="88"/>
      <c r="I1" s="88"/>
    </row>
    <row r="2" spans="1:12" x14ac:dyDescent="0.45">
      <c r="A2" s="89">
        <v>14.1</v>
      </c>
      <c r="B2" s="89">
        <v>80.599999999999994</v>
      </c>
      <c r="C2" s="89">
        <v>10.7</v>
      </c>
      <c r="D2" s="89">
        <v>2</v>
      </c>
      <c r="E2" s="16">
        <v>985</v>
      </c>
      <c r="F2" s="90"/>
      <c r="G2" s="90"/>
      <c r="H2" s="90"/>
      <c r="I2" s="90"/>
      <c r="K2" t="s">
        <v>253</v>
      </c>
      <c r="L2" t="s">
        <v>254</v>
      </c>
    </row>
    <row r="3" spans="1:12" x14ac:dyDescent="0.45">
      <c r="A3" s="89">
        <v>14.9</v>
      </c>
      <c r="B3" s="89">
        <v>69.599999999999994</v>
      </c>
      <c r="C3" s="89">
        <v>16.7</v>
      </c>
      <c r="D3" s="89">
        <v>2</v>
      </c>
      <c r="E3" s="16">
        <v>801</v>
      </c>
      <c r="F3" s="90"/>
      <c r="G3" s="90"/>
      <c r="H3" s="90"/>
      <c r="I3" s="90"/>
      <c r="J3" t="s">
        <v>255</v>
      </c>
      <c r="L3" s="91"/>
    </row>
    <row r="4" spans="1:12" x14ac:dyDescent="0.45">
      <c r="A4" s="89">
        <v>8.1</v>
      </c>
      <c r="B4" s="89">
        <v>43.7</v>
      </c>
      <c r="C4" s="89">
        <v>16.600000000000001</v>
      </c>
      <c r="D4" s="89">
        <v>1</v>
      </c>
      <c r="E4" s="16">
        <v>1349</v>
      </c>
      <c r="F4" s="90"/>
      <c r="G4" s="90"/>
      <c r="H4" s="90"/>
      <c r="I4" s="90"/>
      <c r="J4" t="s">
        <v>256</v>
      </c>
      <c r="L4" s="91"/>
    </row>
    <row r="5" spans="1:12" x14ac:dyDescent="0.45">
      <c r="A5" s="89">
        <v>8.1999999999999993</v>
      </c>
      <c r="B5" s="89">
        <v>59</v>
      </c>
      <c r="C5" s="89">
        <v>10.7</v>
      </c>
      <c r="D5" s="89">
        <v>1</v>
      </c>
      <c r="E5" s="16">
        <v>1562</v>
      </c>
      <c r="F5" s="90"/>
      <c r="G5" s="90"/>
      <c r="H5" s="90"/>
      <c r="I5" s="90"/>
      <c r="J5" s="92"/>
      <c r="K5" s="93"/>
      <c r="L5" s="92"/>
    </row>
    <row r="6" spans="1:12" x14ac:dyDescent="0.45">
      <c r="A6" s="89">
        <v>9.3000000000000007</v>
      </c>
      <c r="B6" s="89">
        <v>43.7</v>
      </c>
      <c r="C6" s="89">
        <v>12.5</v>
      </c>
      <c r="D6" s="89">
        <v>1</v>
      </c>
      <c r="E6" s="16">
        <v>1600</v>
      </c>
      <c r="F6" s="90"/>
      <c r="G6" s="90"/>
      <c r="H6" s="90"/>
      <c r="I6" s="90"/>
      <c r="J6" t="s">
        <v>248</v>
      </c>
      <c r="K6" s="94"/>
    </row>
    <row r="7" spans="1:12" x14ac:dyDescent="0.45">
      <c r="A7" s="89">
        <v>8.4</v>
      </c>
      <c r="B7" s="89">
        <v>51.8</v>
      </c>
      <c r="C7" s="89">
        <v>6</v>
      </c>
      <c r="D7" s="89">
        <v>1</v>
      </c>
      <c r="E7" s="16">
        <v>1606</v>
      </c>
      <c r="F7" s="90"/>
      <c r="G7" s="90"/>
      <c r="H7" s="90"/>
      <c r="I7" s="90"/>
      <c r="J7" t="s">
        <v>249</v>
      </c>
      <c r="K7" s="94"/>
    </row>
    <row r="8" spans="1:12" x14ac:dyDescent="0.45">
      <c r="A8" s="89">
        <v>8.1</v>
      </c>
      <c r="B8" s="89">
        <v>49.9</v>
      </c>
      <c r="C8" s="89">
        <v>11.3</v>
      </c>
      <c r="D8" s="89">
        <v>2</v>
      </c>
      <c r="E8" s="16">
        <v>1510</v>
      </c>
      <c r="F8" s="90"/>
      <c r="G8" s="90"/>
      <c r="H8" s="90"/>
      <c r="I8" s="90"/>
      <c r="J8" t="s">
        <v>250</v>
      </c>
      <c r="K8" s="94"/>
    </row>
    <row r="9" spans="1:12" x14ac:dyDescent="0.45">
      <c r="A9" s="89">
        <v>6.8</v>
      </c>
      <c r="B9" s="89">
        <v>53.6</v>
      </c>
      <c r="C9" s="89">
        <v>17.899999999999999</v>
      </c>
      <c r="D9" s="89">
        <v>2</v>
      </c>
      <c r="E9" s="16">
        <v>959</v>
      </c>
      <c r="F9" s="90"/>
      <c r="G9" s="90"/>
      <c r="H9" s="90"/>
      <c r="I9" s="90"/>
      <c r="J9" t="s">
        <v>251</v>
      </c>
      <c r="K9" s="94"/>
    </row>
    <row r="10" spans="1:12" x14ac:dyDescent="0.45">
      <c r="A10" s="89">
        <v>5.7</v>
      </c>
      <c r="B10" s="89">
        <v>43.4</v>
      </c>
      <c r="C10" s="89">
        <v>24.3</v>
      </c>
      <c r="D10" s="89">
        <v>1</v>
      </c>
      <c r="E10" s="16">
        <v>822</v>
      </c>
      <c r="F10" s="90"/>
      <c r="G10" s="90"/>
      <c r="H10" s="90"/>
      <c r="I10" s="90"/>
      <c r="J10" s="92"/>
      <c r="K10" s="92"/>
      <c r="L10" s="92"/>
    </row>
    <row r="11" spans="1:12" x14ac:dyDescent="0.45">
      <c r="A11" s="89">
        <v>6.2</v>
      </c>
      <c r="B11" s="89">
        <v>48.3</v>
      </c>
      <c r="C11" s="89">
        <v>15</v>
      </c>
      <c r="D11" s="89">
        <v>1</v>
      </c>
      <c r="E11" s="16">
        <v>1321</v>
      </c>
      <c r="F11" s="90"/>
      <c r="G11" s="90"/>
      <c r="H11" s="90"/>
      <c r="I11" s="90"/>
      <c r="J11" t="s">
        <v>180</v>
      </c>
    </row>
    <row r="12" spans="1:12" x14ac:dyDescent="0.45">
      <c r="A12" s="89">
        <v>6.9</v>
      </c>
      <c r="B12" s="89">
        <v>68.599999999999994</v>
      </c>
      <c r="C12" s="89">
        <v>8.1999999999999993</v>
      </c>
      <c r="D12" s="89">
        <v>2</v>
      </c>
      <c r="E12" s="16">
        <v>1263</v>
      </c>
      <c r="F12" s="90"/>
      <c r="G12" s="90"/>
      <c r="H12" s="90"/>
      <c r="I12" s="90"/>
      <c r="J12" t="s">
        <v>179</v>
      </c>
    </row>
    <row r="13" spans="1:12" x14ac:dyDescent="0.45">
      <c r="A13" s="89">
        <v>7.1</v>
      </c>
      <c r="B13" s="89">
        <v>60</v>
      </c>
      <c r="C13" s="89">
        <v>20.399999999999999</v>
      </c>
      <c r="D13" s="89">
        <v>1</v>
      </c>
      <c r="E13" s="16">
        <v>1162</v>
      </c>
      <c r="F13" s="90"/>
      <c r="G13" s="90"/>
      <c r="H13" s="90"/>
      <c r="I13" s="90"/>
      <c r="J13" t="s">
        <v>257</v>
      </c>
      <c r="K13" s="95"/>
    </row>
    <row r="14" spans="1:12" x14ac:dyDescent="0.45">
      <c r="A14" s="89">
        <v>6.8</v>
      </c>
      <c r="B14" s="89">
        <v>47</v>
      </c>
      <c r="C14" s="89">
        <v>20.2</v>
      </c>
      <c r="D14" s="89">
        <v>1</v>
      </c>
      <c r="E14" s="16">
        <v>1406</v>
      </c>
      <c r="F14" s="90"/>
      <c r="G14" s="90"/>
      <c r="H14" s="90"/>
      <c r="I14" s="90"/>
      <c r="J14" s="92"/>
      <c r="K14" s="92"/>
      <c r="L14" s="92"/>
    </row>
    <row r="15" spans="1:12" x14ac:dyDescent="0.45">
      <c r="A15" s="89">
        <v>6.6</v>
      </c>
      <c r="B15" s="89">
        <v>53.8</v>
      </c>
      <c r="C15" s="89">
        <v>8.5</v>
      </c>
      <c r="D15" s="89">
        <v>1</v>
      </c>
      <c r="E15" s="16">
        <v>1421</v>
      </c>
      <c r="F15" s="90"/>
      <c r="G15" s="90"/>
      <c r="H15" s="90"/>
      <c r="I15" s="90"/>
      <c r="J15" t="s">
        <v>258</v>
      </c>
      <c r="K15" s="16"/>
      <c r="L15" s="16"/>
    </row>
    <row r="16" spans="1:12" x14ac:dyDescent="0.45">
      <c r="A16" s="89">
        <v>9.6</v>
      </c>
      <c r="B16" s="89">
        <v>49.9</v>
      </c>
      <c r="C16" s="89">
        <v>10.6</v>
      </c>
      <c r="D16" s="89">
        <v>2</v>
      </c>
      <c r="E16" s="16">
        <v>1248</v>
      </c>
      <c r="F16" s="90"/>
      <c r="G16" s="90"/>
      <c r="H16" s="90"/>
      <c r="I16" s="90"/>
      <c r="J16" t="s">
        <v>259</v>
      </c>
      <c r="K16" s="96"/>
      <c r="L16" s="96"/>
    </row>
    <row r="17" spans="1:15" x14ac:dyDescent="0.45">
      <c r="A17" s="89">
        <v>9.5</v>
      </c>
      <c r="B17" s="89">
        <v>48.4</v>
      </c>
      <c r="C17" s="89">
        <v>12.6</v>
      </c>
      <c r="D17" s="89">
        <v>1</v>
      </c>
      <c r="E17" s="16">
        <v>1204</v>
      </c>
      <c r="F17" s="90"/>
      <c r="G17" s="90"/>
      <c r="H17" s="90"/>
      <c r="I17" s="90"/>
      <c r="J17" t="s">
        <v>260</v>
      </c>
      <c r="K17" s="96"/>
      <c r="L17" s="96"/>
    </row>
    <row r="18" spans="1:15" x14ac:dyDescent="0.45">
      <c r="A18" s="89">
        <v>7.2</v>
      </c>
      <c r="B18" s="89">
        <v>53.8</v>
      </c>
      <c r="C18" s="89">
        <v>13</v>
      </c>
      <c r="D18" s="89">
        <v>2</v>
      </c>
      <c r="E18" s="16">
        <v>1000</v>
      </c>
      <c r="F18" s="90"/>
      <c r="G18" s="90"/>
      <c r="H18" s="90"/>
      <c r="I18" s="90"/>
      <c r="J18" t="s">
        <v>261</v>
      </c>
      <c r="K18" s="95"/>
      <c r="L18" s="95"/>
    </row>
    <row r="19" spans="1:15" x14ac:dyDescent="0.45">
      <c r="A19" s="89">
        <v>8.9</v>
      </c>
      <c r="B19" s="89">
        <v>86.2</v>
      </c>
      <c r="C19" s="89">
        <v>9.8000000000000007</v>
      </c>
      <c r="D19" s="89">
        <v>2</v>
      </c>
      <c r="E19" s="16">
        <v>683</v>
      </c>
      <c r="F19" s="90"/>
      <c r="G19" s="90"/>
      <c r="H19" s="90"/>
      <c r="I19" s="90"/>
      <c r="J19" s="92"/>
      <c r="K19" s="92"/>
      <c r="L19" s="92"/>
    </row>
    <row r="20" spans="1:15" x14ac:dyDescent="0.45">
      <c r="A20" s="89">
        <v>12</v>
      </c>
      <c r="B20" s="89">
        <v>74.2</v>
      </c>
      <c r="C20" s="89">
        <v>14</v>
      </c>
      <c r="D20" s="89">
        <v>2</v>
      </c>
      <c r="E20" s="16">
        <v>1650</v>
      </c>
      <c r="F20" s="90"/>
      <c r="G20" s="90"/>
      <c r="H20" s="90"/>
      <c r="I20" s="90"/>
      <c r="K20" s="97" t="s">
        <v>251</v>
      </c>
      <c r="L20" s="97" t="s">
        <v>250</v>
      </c>
      <c r="M20" s="97" t="s">
        <v>249</v>
      </c>
      <c r="N20" s="97" t="s">
        <v>248</v>
      </c>
      <c r="O20" s="97" t="s">
        <v>262</v>
      </c>
    </row>
    <row r="21" spans="1:15" x14ac:dyDescent="0.45">
      <c r="A21" s="89">
        <v>10.7</v>
      </c>
      <c r="B21" s="89">
        <v>53.8</v>
      </c>
      <c r="C21" s="89">
        <v>13.1</v>
      </c>
      <c r="D21" s="89">
        <v>2</v>
      </c>
      <c r="E21" s="16">
        <v>1927</v>
      </c>
      <c r="F21" s="90"/>
      <c r="G21" s="90"/>
      <c r="H21" s="90"/>
      <c r="I21" s="90"/>
      <c r="J21" t="s">
        <v>179</v>
      </c>
    </row>
    <row r="22" spans="1:15" x14ac:dyDescent="0.45">
      <c r="A22" s="89">
        <v>7.3</v>
      </c>
      <c r="B22" s="89">
        <v>45.7</v>
      </c>
      <c r="C22" s="89">
        <v>23.7</v>
      </c>
      <c r="D22" s="89">
        <v>1</v>
      </c>
      <c r="E22" s="16">
        <v>1543</v>
      </c>
      <c r="F22" s="90"/>
      <c r="G22" s="90"/>
      <c r="H22" s="90"/>
      <c r="I22" s="90"/>
      <c r="J22" t="s">
        <v>263</v>
      </c>
    </row>
    <row r="23" spans="1:15" x14ac:dyDescent="0.45">
      <c r="A23" s="89">
        <v>2.4</v>
      </c>
      <c r="B23" s="89">
        <v>40</v>
      </c>
      <c r="C23" s="89">
        <v>11.5</v>
      </c>
      <c r="D23" s="89">
        <v>1</v>
      </c>
      <c r="E23" s="16">
        <v>981</v>
      </c>
      <c r="F23" s="90"/>
      <c r="G23" s="90"/>
      <c r="H23" s="90"/>
      <c r="I23" s="90"/>
      <c r="J23" t="s">
        <v>257</v>
      </c>
    </row>
    <row r="24" spans="1:15" x14ac:dyDescent="0.45">
      <c r="A24" s="89">
        <v>4</v>
      </c>
      <c r="B24" s="89">
        <v>43.7</v>
      </c>
      <c r="C24" s="89">
        <v>16.5</v>
      </c>
      <c r="D24" s="89">
        <v>1</v>
      </c>
      <c r="E24" s="16">
        <v>986</v>
      </c>
      <c r="F24" s="90"/>
      <c r="G24" s="90"/>
      <c r="H24" s="90"/>
      <c r="I24" s="90"/>
    </row>
    <row r="25" spans="1:15" x14ac:dyDescent="0.45">
      <c r="A25" s="89">
        <v>4</v>
      </c>
      <c r="B25" s="89">
        <v>49.2</v>
      </c>
      <c r="C25" s="89">
        <v>10.6</v>
      </c>
      <c r="D25" s="89">
        <v>1</v>
      </c>
      <c r="E25" s="16">
        <v>1416</v>
      </c>
      <c r="F25" s="90"/>
      <c r="G25" s="90"/>
      <c r="H25" s="90"/>
      <c r="I25" s="90"/>
    </row>
    <row r="26" spans="1:15" x14ac:dyDescent="0.45">
      <c r="A26" s="89">
        <v>9.1999999999999993</v>
      </c>
      <c r="B26" s="89">
        <v>61.7</v>
      </c>
      <c r="C26" s="89">
        <v>8.6999999999999993</v>
      </c>
      <c r="D26" s="89">
        <v>2</v>
      </c>
      <c r="E26" s="16">
        <v>1985</v>
      </c>
      <c r="F26" s="90"/>
      <c r="G26" s="90"/>
      <c r="H26" s="90"/>
      <c r="I26" s="90"/>
    </row>
    <row r="27" spans="1:15" x14ac:dyDescent="0.45">
      <c r="A27" s="89">
        <v>8.9</v>
      </c>
      <c r="B27" s="89">
        <v>86.2</v>
      </c>
      <c r="C27" s="89">
        <v>19.7</v>
      </c>
      <c r="D27" s="89">
        <v>3</v>
      </c>
      <c r="E27" s="16">
        <v>506</v>
      </c>
      <c r="F27" s="90"/>
      <c r="G27" s="90"/>
      <c r="H27" s="90"/>
      <c r="I27" s="90"/>
    </row>
    <row r="28" spans="1:15" x14ac:dyDescent="0.45">
      <c r="A28" s="89">
        <v>8</v>
      </c>
      <c r="B28" s="89">
        <v>68.8</v>
      </c>
      <c r="C28" s="89">
        <v>7.6</v>
      </c>
      <c r="D28" s="89">
        <v>1</v>
      </c>
      <c r="E28" s="16">
        <v>431</v>
      </c>
      <c r="F28" s="90"/>
      <c r="G28" s="90"/>
      <c r="H28" s="90"/>
      <c r="I28" s="90"/>
    </row>
    <row r="29" spans="1:15" x14ac:dyDescent="0.45">
      <c r="A29" s="89">
        <v>8.3000000000000007</v>
      </c>
      <c r="B29" s="89">
        <v>79.3</v>
      </c>
      <c r="C29" s="89">
        <v>8.3000000000000007</v>
      </c>
      <c r="D29" s="89">
        <v>2</v>
      </c>
      <c r="E29" s="16">
        <v>1167</v>
      </c>
      <c r="F29" s="90"/>
      <c r="G29" s="90"/>
      <c r="H29" s="90"/>
      <c r="I29" s="90"/>
    </row>
    <row r="30" spans="1:15" x14ac:dyDescent="0.45">
      <c r="A30" s="89">
        <v>8.1</v>
      </c>
      <c r="B30" s="89">
        <v>65.2</v>
      </c>
      <c r="C30" s="89">
        <v>9.6999999999999993</v>
      </c>
      <c r="D30" s="89">
        <v>1</v>
      </c>
      <c r="E30" s="16">
        <v>1098</v>
      </c>
      <c r="F30" s="90"/>
      <c r="G30" s="90"/>
      <c r="H30" s="90"/>
      <c r="I30" s="90"/>
    </row>
    <row r="31" spans="1:15" x14ac:dyDescent="0.45">
      <c r="A31" s="89">
        <v>8.9</v>
      </c>
      <c r="B31" s="89">
        <v>72.2</v>
      </c>
      <c r="C31" s="89">
        <v>5</v>
      </c>
      <c r="D31" s="89">
        <v>1</v>
      </c>
      <c r="E31" s="16">
        <v>1096</v>
      </c>
      <c r="F31" s="90"/>
      <c r="G31" s="90"/>
      <c r="H31" s="90"/>
      <c r="I31" s="90"/>
    </row>
    <row r="32" spans="1:15" x14ac:dyDescent="0.45">
      <c r="A32" s="89">
        <v>7.4</v>
      </c>
      <c r="B32" s="89">
        <v>60.4</v>
      </c>
      <c r="C32" s="89">
        <v>12.5</v>
      </c>
      <c r="D32" s="89">
        <v>2</v>
      </c>
      <c r="E32" s="16">
        <v>1501</v>
      </c>
      <c r="F32" s="90"/>
      <c r="G32" s="90"/>
      <c r="H32" s="90"/>
      <c r="I32" s="90"/>
    </row>
    <row r="33" spans="1:9" x14ac:dyDescent="0.45">
      <c r="A33" s="89">
        <v>7.9</v>
      </c>
      <c r="B33" s="89">
        <v>83</v>
      </c>
      <c r="C33" s="89">
        <v>3.6</v>
      </c>
      <c r="D33" s="89">
        <v>2</v>
      </c>
      <c r="E33" s="16">
        <v>1360</v>
      </c>
      <c r="F33" s="90"/>
      <c r="G33" s="90"/>
      <c r="H33" s="90"/>
      <c r="I33" s="90"/>
    </row>
    <row r="34" spans="1:9" x14ac:dyDescent="0.45">
      <c r="A34" s="89">
        <v>10.7</v>
      </c>
      <c r="B34" s="89">
        <v>77.5</v>
      </c>
      <c r="C34" s="89">
        <v>17.7</v>
      </c>
      <c r="D34" s="89">
        <v>2</v>
      </c>
      <c r="E34" s="16">
        <v>1526</v>
      </c>
      <c r="F34" s="90"/>
      <c r="G34" s="90"/>
      <c r="H34" s="90"/>
      <c r="I34" s="90"/>
    </row>
    <row r="35" spans="1:9" x14ac:dyDescent="0.45">
      <c r="A35" s="89">
        <v>7.7</v>
      </c>
      <c r="B35" s="89">
        <v>43.8</v>
      </c>
      <c r="C35" s="89">
        <v>18.600000000000001</v>
      </c>
      <c r="D35" s="89">
        <v>1</v>
      </c>
      <c r="E35" s="16">
        <v>1550</v>
      </c>
      <c r="F35" s="90"/>
      <c r="G35" s="90"/>
      <c r="H35" s="90"/>
      <c r="I35" s="90"/>
    </row>
    <row r="36" spans="1:9" x14ac:dyDescent="0.45">
      <c r="A36" s="89">
        <v>8.6999999999999993</v>
      </c>
      <c r="B36" s="89">
        <v>58.5</v>
      </c>
      <c r="C36" s="89">
        <v>8.6</v>
      </c>
      <c r="D36" s="89">
        <v>2</v>
      </c>
      <c r="E36" s="16">
        <v>1708</v>
      </c>
      <c r="F36" s="90"/>
      <c r="G36" s="90"/>
      <c r="H36" s="90"/>
      <c r="I36" s="90"/>
    </row>
    <row r="37" spans="1:9" x14ac:dyDescent="0.45">
      <c r="A37" s="89">
        <v>9.6</v>
      </c>
      <c r="B37" s="89">
        <v>92.9</v>
      </c>
      <c r="C37" s="89">
        <v>10.8</v>
      </c>
      <c r="D37" s="89">
        <v>2</v>
      </c>
      <c r="E37" s="16">
        <v>1005</v>
      </c>
      <c r="F37" s="90"/>
      <c r="G37" s="90"/>
      <c r="H37" s="90"/>
      <c r="I37" s="90"/>
    </row>
    <row r="38" spans="1:9" x14ac:dyDescent="0.45">
      <c r="A38" s="89">
        <v>11.7</v>
      </c>
      <c r="B38" s="89">
        <v>56.8</v>
      </c>
      <c r="C38" s="89">
        <v>9.5</v>
      </c>
      <c r="D38" s="89">
        <v>1</v>
      </c>
      <c r="E38" s="16">
        <v>1623</v>
      </c>
      <c r="F38" s="90"/>
      <c r="G38" s="90"/>
      <c r="H38" s="90"/>
      <c r="I38" s="90"/>
    </row>
    <row r="39" spans="1:9" x14ac:dyDescent="0.45">
      <c r="A39" s="89">
        <v>11.1</v>
      </c>
      <c r="B39" s="89">
        <v>73.8</v>
      </c>
      <c r="C39" s="89">
        <v>3</v>
      </c>
      <c r="D39" s="89">
        <v>1</v>
      </c>
      <c r="E39" s="16">
        <v>1712</v>
      </c>
      <c r="F39" s="90"/>
      <c r="G39" s="90"/>
      <c r="H39" s="90"/>
      <c r="I39" s="90"/>
    </row>
    <row r="40" spans="1:9" x14ac:dyDescent="0.45">
      <c r="A40" s="89">
        <v>9.1</v>
      </c>
      <c r="B40" s="89">
        <v>53.8</v>
      </c>
      <c r="C40" s="89">
        <v>24.3</v>
      </c>
      <c r="D40" s="89">
        <v>1</v>
      </c>
      <c r="E40" s="16">
        <v>1530</v>
      </c>
      <c r="F40" s="90"/>
      <c r="G40" s="90"/>
      <c r="H40" s="90"/>
      <c r="I40" s="90"/>
    </row>
    <row r="41" spans="1:9" x14ac:dyDescent="0.45">
      <c r="A41" s="89">
        <v>5.5</v>
      </c>
      <c r="B41" s="89">
        <v>49.5</v>
      </c>
      <c r="C41" s="89">
        <v>12.7</v>
      </c>
      <c r="D41" s="89">
        <v>2</v>
      </c>
      <c r="E41" s="16">
        <v>1605</v>
      </c>
      <c r="F41" s="90"/>
      <c r="G41" s="90"/>
      <c r="H41" s="90"/>
      <c r="I41" s="90"/>
    </row>
    <row r="42" spans="1:9" x14ac:dyDescent="0.45">
      <c r="A42" s="89">
        <v>5.9</v>
      </c>
      <c r="B42" s="89">
        <v>43.7</v>
      </c>
      <c r="C42" s="89">
        <v>14.9</v>
      </c>
      <c r="D42" s="89">
        <v>1</v>
      </c>
      <c r="E42" s="16">
        <v>1538</v>
      </c>
      <c r="F42" s="90"/>
      <c r="G42" s="90"/>
      <c r="H42" s="90"/>
      <c r="I42" s="90"/>
    </row>
    <row r="43" spans="1:9" x14ac:dyDescent="0.45">
      <c r="A43" s="89">
        <v>7.8</v>
      </c>
      <c r="B43" s="89">
        <v>50.6</v>
      </c>
      <c r="C43" s="89">
        <v>7.3</v>
      </c>
      <c r="D43" s="89">
        <v>1</v>
      </c>
      <c r="E43" s="16">
        <v>1746</v>
      </c>
      <c r="F43" s="90"/>
      <c r="G43" s="90"/>
      <c r="H43" s="90"/>
      <c r="I43" s="90"/>
    </row>
    <row r="44" spans="1:9" x14ac:dyDescent="0.45">
      <c r="A44" s="89">
        <v>9.1</v>
      </c>
      <c r="B44" s="89">
        <v>54.4</v>
      </c>
      <c r="C44" s="89">
        <v>13.6</v>
      </c>
      <c r="D44" s="89">
        <v>1</v>
      </c>
      <c r="E44" s="16">
        <v>1472</v>
      </c>
      <c r="F44" s="90"/>
      <c r="G44" s="90"/>
      <c r="H44" s="90"/>
      <c r="I44" s="90"/>
    </row>
    <row r="45" spans="1:9" x14ac:dyDescent="0.45">
      <c r="A45" s="89">
        <v>13</v>
      </c>
      <c r="B45" s="89">
        <v>45.7</v>
      </c>
      <c r="C45" s="89">
        <v>17.5</v>
      </c>
      <c r="D45" s="89">
        <v>1</v>
      </c>
      <c r="E45" s="16">
        <v>1589</v>
      </c>
      <c r="F45" s="90"/>
      <c r="G45" s="90"/>
      <c r="H45" s="90"/>
      <c r="I45" s="90"/>
    </row>
    <row r="46" spans="1:9" x14ac:dyDescent="0.45">
      <c r="A46" s="89">
        <v>17</v>
      </c>
      <c r="B46" s="89">
        <v>37.6</v>
      </c>
      <c r="C46" s="89">
        <v>28</v>
      </c>
      <c r="D46" s="89">
        <v>1</v>
      </c>
      <c r="E46" s="16">
        <v>1913</v>
      </c>
      <c r="F46" s="90"/>
      <c r="G46" s="90"/>
      <c r="H46" s="90"/>
      <c r="I46" s="90"/>
    </row>
    <row r="47" spans="1:9" x14ac:dyDescent="0.45">
      <c r="A47" s="89">
        <v>10.9</v>
      </c>
      <c r="B47" s="89">
        <v>31.4</v>
      </c>
      <c r="C47" s="89">
        <v>19.5</v>
      </c>
      <c r="D47" s="89">
        <v>1</v>
      </c>
      <c r="E47" s="16">
        <v>1815</v>
      </c>
      <c r="F47" s="90"/>
      <c r="G47" s="90"/>
      <c r="H47" s="90"/>
      <c r="I47" s="90"/>
    </row>
    <row r="48" spans="1:9" x14ac:dyDescent="0.45">
      <c r="A48" s="89">
        <v>13</v>
      </c>
      <c r="B48" s="89">
        <v>42.3</v>
      </c>
      <c r="C48" s="89">
        <v>16.899999999999999</v>
      </c>
      <c r="D48" s="89">
        <v>1</v>
      </c>
      <c r="E48" s="16">
        <v>2115</v>
      </c>
      <c r="F48" s="90"/>
      <c r="G48" s="90"/>
      <c r="H48" s="90"/>
      <c r="I48" s="90"/>
    </row>
    <row r="49" spans="1:9" x14ac:dyDescent="0.45">
      <c r="A49" s="89">
        <v>17.899999999999999</v>
      </c>
      <c r="B49" s="89">
        <v>50.5</v>
      </c>
      <c r="C49" s="89">
        <v>15.4</v>
      </c>
      <c r="D49" s="89">
        <v>1</v>
      </c>
      <c r="E49" s="16">
        <v>2475</v>
      </c>
      <c r="F49" s="90"/>
      <c r="G49" s="90"/>
      <c r="H49" s="90"/>
      <c r="I49" s="90"/>
    </row>
    <row r="50" spans="1:9" x14ac:dyDescent="0.45">
      <c r="A50" s="89">
        <v>21.4</v>
      </c>
      <c r="B50" s="89">
        <v>51.7</v>
      </c>
      <c r="C50" s="89">
        <v>17.7</v>
      </c>
      <c r="D50" s="89">
        <v>1</v>
      </c>
      <c r="E50" s="16">
        <v>2927</v>
      </c>
      <c r="F50" s="90"/>
      <c r="G50" s="90"/>
      <c r="H50" s="90"/>
      <c r="I50" s="90"/>
    </row>
    <row r="51" spans="1:9" x14ac:dyDescent="0.45">
      <c r="A51" s="89">
        <v>16.399999999999999</v>
      </c>
      <c r="B51" s="89">
        <v>18.8</v>
      </c>
      <c r="C51" s="89">
        <v>34</v>
      </c>
      <c r="D51" s="89">
        <v>1</v>
      </c>
      <c r="E51" s="16">
        <v>1635</v>
      </c>
      <c r="F51" s="90"/>
      <c r="G51" s="90"/>
      <c r="H51" s="90"/>
      <c r="I51" s="90"/>
    </row>
    <row r="52" spans="1:9" x14ac:dyDescent="0.45">
      <c r="A52" s="89">
        <v>11.7</v>
      </c>
      <c r="B52" s="89">
        <v>40.799999999999997</v>
      </c>
      <c r="C52" s="89">
        <v>15</v>
      </c>
      <c r="D52" s="89">
        <v>1</v>
      </c>
      <c r="E52" s="16">
        <v>1812</v>
      </c>
      <c r="F52" s="90"/>
      <c r="G52" s="90"/>
      <c r="H52" s="90"/>
      <c r="I52" s="90"/>
    </row>
    <row r="53" spans="1:9" x14ac:dyDescent="0.45">
      <c r="A53" s="89">
        <v>12.4</v>
      </c>
      <c r="B53" s="89">
        <v>60.5</v>
      </c>
      <c r="C53" s="89">
        <v>20.6</v>
      </c>
      <c r="D53" s="89">
        <v>2</v>
      </c>
      <c r="E53" s="16">
        <v>1107</v>
      </c>
      <c r="F53" s="90"/>
      <c r="G53" s="90"/>
      <c r="H53" s="90"/>
      <c r="I53" s="90"/>
    </row>
    <row r="54" spans="1:9" x14ac:dyDescent="0.45">
      <c r="A54" s="89">
        <v>7.5</v>
      </c>
      <c r="B54" s="89">
        <v>57.8</v>
      </c>
      <c r="C54" s="89">
        <v>13.1</v>
      </c>
      <c r="D54" s="89">
        <v>1</v>
      </c>
      <c r="E54" s="16">
        <v>1450</v>
      </c>
      <c r="F54" s="90"/>
      <c r="G54" s="90"/>
      <c r="H54" s="90"/>
      <c r="I54" s="90"/>
    </row>
    <row r="55" spans="1:9" x14ac:dyDescent="0.45">
      <c r="A55" s="89">
        <v>9.1</v>
      </c>
      <c r="B55" s="89">
        <v>42.3</v>
      </c>
      <c r="C55" s="89">
        <v>6.3</v>
      </c>
      <c r="D55" s="89">
        <v>1</v>
      </c>
      <c r="E55" s="16">
        <v>1917</v>
      </c>
      <c r="F55" s="90"/>
      <c r="G55" s="90"/>
      <c r="H55" s="90"/>
      <c r="I55" s="90"/>
    </row>
    <row r="56" spans="1:9" x14ac:dyDescent="0.45">
      <c r="A56" s="89">
        <v>12.1</v>
      </c>
      <c r="B56" s="89">
        <v>69.7</v>
      </c>
      <c r="C56" s="89">
        <v>16.8</v>
      </c>
      <c r="D56" s="89">
        <v>2</v>
      </c>
      <c r="E56" s="16">
        <v>1807</v>
      </c>
      <c r="F56" s="90"/>
      <c r="G56" s="90"/>
      <c r="H56" s="90"/>
      <c r="I56" s="90"/>
    </row>
    <row r="57" spans="1:9" x14ac:dyDescent="0.45">
      <c r="A57" s="89">
        <v>14.9</v>
      </c>
      <c r="B57" s="89">
        <v>71.2</v>
      </c>
      <c r="C57" s="89">
        <v>23.2</v>
      </c>
      <c r="D57" s="89">
        <v>2</v>
      </c>
      <c r="E57" s="16">
        <v>1461</v>
      </c>
      <c r="F57" s="90"/>
      <c r="G57" s="90"/>
      <c r="H57" s="90"/>
      <c r="I57" s="90"/>
    </row>
    <row r="58" spans="1:9" x14ac:dyDescent="0.45">
      <c r="A58" s="89">
        <v>11.6</v>
      </c>
      <c r="B58" s="89">
        <v>53.8</v>
      </c>
      <c r="C58" s="89">
        <v>12.5</v>
      </c>
      <c r="D58" s="89">
        <v>1</v>
      </c>
      <c r="E58" s="16">
        <v>1969</v>
      </c>
      <c r="F58" s="90"/>
      <c r="G58" s="90"/>
      <c r="H58" s="90"/>
      <c r="I58" s="90"/>
    </row>
    <row r="59" spans="1:9" x14ac:dyDescent="0.45">
      <c r="A59" s="89">
        <v>14.1</v>
      </c>
      <c r="B59" s="89">
        <v>68</v>
      </c>
      <c r="C59" s="89">
        <v>8.4</v>
      </c>
      <c r="D59" s="89">
        <v>1</v>
      </c>
      <c r="E59" s="16">
        <v>2402</v>
      </c>
      <c r="F59" s="90"/>
      <c r="G59" s="90"/>
      <c r="H59" s="90"/>
      <c r="I59" s="90"/>
    </row>
    <row r="60" spans="1:9" x14ac:dyDescent="0.45">
      <c r="A60" s="89">
        <v>16.7</v>
      </c>
      <c r="B60" s="89">
        <v>87.6</v>
      </c>
      <c r="C60" s="89">
        <v>19.399999999999999</v>
      </c>
      <c r="D60" s="89">
        <v>2</v>
      </c>
      <c r="E60" s="16">
        <v>1446</v>
      </c>
      <c r="F60" s="90"/>
      <c r="G60" s="90"/>
      <c r="H60" s="90"/>
      <c r="I60" s="90"/>
    </row>
    <row r="61" spans="1:9" x14ac:dyDescent="0.45">
      <c r="A61" s="89">
        <v>10.9</v>
      </c>
      <c r="B61" s="89">
        <v>53.5</v>
      </c>
      <c r="C61" s="89">
        <v>14.5</v>
      </c>
      <c r="D61" s="89">
        <v>1</v>
      </c>
      <c r="E61" s="16">
        <v>1851</v>
      </c>
      <c r="F61" s="90"/>
      <c r="G61" s="90"/>
      <c r="H61" s="90"/>
      <c r="I61" s="90"/>
    </row>
    <row r="62" spans="1:9" x14ac:dyDescent="0.45">
      <c r="A62" s="89">
        <v>13.7</v>
      </c>
      <c r="B62" s="89">
        <v>45</v>
      </c>
      <c r="C62" s="89">
        <v>20.6</v>
      </c>
      <c r="D62" s="89">
        <v>1</v>
      </c>
      <c r="E62" s="16">
        <v>2134</v>
      </c>
      <c r="F62" s="90"/>
      <c r="G62" s="90"/>
      <c r="H62" s="90"/>
      <c r="I62" s="90"/>
    </row>
    <row r="63" spans="1:9" x14ac:dyDescent="0.45">
      <c r="A63" s="89">
        <v>8.1</v>
      </c>
      <c r="B63" s="89">
        <v>31.8</v>
      </c>
      <c r="C63" s="89">
        <v>15.1</v>
      </c>
      <c r="D63" s="89">
        <v>1</v>
      </c>
      <c r="E63" s="16">
        <v>1685</v>
      </c>
      <c r="F63" s="90"/>
      <c r="G63" s="90"/>
      <c r="H63" s="90"/>
      <c r="I63" s="90"/>
    </row>
    <row r="64" spans="1:9" x14ac:dyDescent="0.45">
      <c r="A64" s="89">
        <v>10.7</v>
      </c>
      <c r="B64" s="89">
        <v>61</v>
      </c>
      <c r="C64" s="89">
        <v>13.6</v>
      </c>
      <c r="D64" s="89">
        <v>2</v>
      </c>
      <c r="E64" s="16">
        <v>1944</v>
      </c>
      <c r="F64" s="90"/>
      <c r="G64" s="90"/>
      <c r="H64" s="90"/>
      <c r="I64" s="90"/>
    </row>
    <row r="65" spans="1:9" x14ac:dyDescent="0.45">
      <c r="A65" s="89">
        <v>15.8</v>
      </c>
      <c r="B65" s="89">
        <v>78.900000000000006</v>
      </c>
      <c r="C65" s="89">
        <v>16.899999999999999</v>
      </c>
      <c r="D65" s="89">
        <v>2</v>
      </c>
      <c r="E65" s="16">
        <v>2077</v>
      </c>
      <c r="F65" s="90"/>
      <c r="G65" s="90"/>
      <c r="H65" s="90"/>
      <c r="I65" s="90"/>
    </row>
    <row r="66" spans="1:9" x14ac:dyDescent="0.45">
      <c r="A66" s="89">
        <v>15.4</v>
      </c>
      <c r="B66" s="89">
        <v>94.8</v>
      </c>
      <c r="C66" s="89">
        <v>23</v>
      </c>
      <c r="D66" s="89">
        <v>2</v>
      </c>
      <c r="E66" s="16">
        <v>605</v>
      </c>
      <c r="F66" s="90"/>
      <c r="G66" s="90"/>
      <c r="H66" s="90"/>
      <c r="I66" s="90"/>
    </row>
    <row r="67" spans="1:9" x14ac:dyDescent="0.45">
      <c r="A67" s="89">
        <v>10.7</v>
      </c>
      <c r="B67" s="89">
        <v>55.1</v>
      </c>
      <c r="C67" s="89">
        <v>22.9</v>
      </c>
      <c r="D67" s="89">
        <v>1</v>
      </c>
      <c r="E67" s="16">
        <v>1872</v>
      </c>
      <c r="F67" s="90"/>
      <c r="G67" s="90"/>
      <c r="H67" s="90"/>
      <c r="I67" s="90"/>
    </row>
    <row r="68" spans="1:9" x14ac:dyDescent="0.45">
      <c r="A68" s="89">
        <v>12</v>
      </c>
      <c r="B68" s="89">
        <v>42.1</v>
      </c>
      <c r="C68" s="89">
        <v>8.1</v>
      </c>
      <c r="D68" s="89">
        <v>1</v>
      </c>
      <c r="E68" s="16">
        <v>2133</v>
      </c>
      <c r="F68" s="90"/>
      <c r="G68" s="90"/>
      <c r="H68" s="90"/>
      <c r="I68" s="90"/>
    </row>
    <row r="69" spans="1:9" x14ac:dyDescent="0.45">
      <c r="A69" s="89">
        <v>12.1</v>
      </c>
      <c r="B69" s="89">
        <v>77.5</v>
      </c>
      <c r="C69" s="89">
        <v>14.8</v>
      </c>
      <c r="D69" s="89">
        <v>2</v>
      </c>
      <c r="E69" s="16">
        <v>1891</v>
      </c>
      <c r="F69" s="90"/>
      <c r="G69" s="90"/>
      <c r="H69" s="90"/>
      <c r="I69" s="90"/>
    </row>
    <row r="70" spans="1:9" x14ac:dyDescent="0.45">
      <c r="A70" s="89">
        <v>16</v>
      </c>
      <c r="B70" s="89">
        <v>91.4</v>
      </c>
      <c r="C70" s="89">
        <v>17.5</v>
      </c>
      <c r="D70" s="89">
        <v>3</v>
      </c>
      <c r="E70" s="16">
        <v>623</v>
      </c>
      <c r="F70" s="90"/>
      <c r="G70" s="90"/>
      <c r="H70" s="90"/>
      <c r="I70" s="90"/>
    </row>
    <row r="71" spans="1:9" x14ac:dyDescent="0.45">
      <c r="A71" s="89">
        <v>13</v>
      </c>
      <c r="B71" s="89">
        <v>65</v>
      </c>
      <c r="C71" s="89">
        <v>15.6</v>
      </c>
      <c r="D71" s="89">
        <v>2</v>
      </c>
      <c r="E71" s="16">
        <v>1977</v>
      </c>
      <c r="F71" s="90"/>
      <c r="G71" s="90"/>
      <c r="H71" s="90"/>
      <c r="I71" s="90"/>
    </row>
    <row r="72" spans="1:9" x14ac:dyDescent="0.45">
      <c r="A72" s="89">
        <v>13.5</v>
      </c>
      <c r="B72" s="89">
        <v>59.5</v>
      </c>
      <c r="C72" s="89">
        <v>14.8</v>
      </c>
      <c r="D72" s="89">
        <v>1</v>
      </c>
      <c r="E72" s="16">
        <v>2132</v>
      </c>
      <c r="F72" s="90"/>
      <c r="G72" s="90"/>
      <c r="H72" s="90"/>
      <c r="I72" s="90"/>
    </row>
    <row r="73" spans="1:9" x14ac:dyDescent="0.45">
      <c r="A73" s="89">
        <v>15.8</v>
      </c>
      <c r="B73" s="89">
        <v>52.7</v>
      </c>
      <c r="C73" s="89">
        <v>18.100000000000001</v>
      </c>
      <c r="D73" s="89">
        <v>1</v>
      </c>
      <c r="E73" s="16">
        <v>2417</v>
      </c>
      <c r="F73" s="90"/>
      <c r="G73" s="90"/>
      <c r="H73" s="90"/>
      <c r="I73" s="90"/>
    </row>
    <row r="74" spans="1:9" x14ac:dyDescent="0.45">
      <c r="A74" s="89">
        <v>13.3</v>
      </c>
      <c r="B74" s="89">
        <v>49.7</v>
      </c>
      <c r="C74" s="89">
        <v>9.1999999999999993</v>
      </c>
      <c r="D74" s="89">
        <v>1</v>
      </c>
      <c r="E74" s="16">
        <v>2046</v>
      </c>
      <c r="F74" s="90"/>
      <c r="G74" s="90"/>
      <c r="H74" s="90"/>
      <c r="I74" s="90"/>
    </row>
    <row r="75" spans="1:9" x14ac:dyDescent="0.45">
      <c r="A75" s="89">
        <v>13</v>
      </c>
      <c r="B75" s="89">
        <v>65.599999999999994</v>
      </c>
      <c r="C75" s="89">
        <v>12.3</v>
      </c>
      <c r="D75" s="89">
        <v>2</v>
      </c>
      <c r="E75" s="16">
        <v>2056</v>
      </c>
      <c r="F75" s="90"/>
      <c r="G75" s="90"/>
      <c r="H75" s="90"/>
      <c r="I75" s="90"/>
    </row>
    <row r="76" spans="1:9" x14ac:dyDescent="0.45">
      <c r="A76" s="89">
        <v>15</v>
      </c>
      <c r="B76" s="89">
        <v>77.7</v>
      </c>
      <c r="C76" s="89">
        <v>13.6</v>
      </c>
      <c r="D76" s="89">
        <v>2</v>
      </c>
      <c r="E76" s="16">
        <v>2192</v>
      </c>
      <c r="F76" s="90"/>
      <c r="G76" s="90"/>
      <c r="H76" s="90"/>
      <c r="I76" s="90"/>
    </row>
    <row r="77" spans="1:9" x14ac:dyDescent="0.45">
      <c r="A77" s="89">
        <v>17</v>
      </c>
      <c r="B77" s="89">
        <v>60.3</v>
      </c>
      <c r="C77" s="89">
        <v>14</v>
      </c>
      <c r="D77" s="89">
        <v>1</v>
      </c>
      <c r="E77" s="16">
        <v>2744</v>
      </c>
      <c r="F77" s="90"/>
      <c r="G77" s="90"/>
      <c r="H77" s="90"/>
      <c r="I77" s="90"/>
    </row>
    <row r="78" spans="1:9" x14ac:dyDescent="0.45">
      <c r="A78" s="89">
        <v>22.1</v>
      </c>
      <c r="B78" s="89">
        <v>52.5</v>
      </c>
      <c r="C78" s="89">
        <v>15.5</v>
      </c>
      <c r="D78" s="89">
        <v>1</v>
      </c>
      <c r="E78" s="16">
        <v>3239</v>
      </c>
      <c r="F78" s="90"/>
      <c r="G78" s="90"/>
      <c r="H78" s="90"/>
      <c r="I78" s="90"/>
    </row>
    <row r="79" spans="1:9" x14ac:dyDescent="0.45">
      <c r="A79" s="89">
        <v>19.399999999999999</v>
      </c>
      <c r="B79" s="89">
        <v>37.9</v>
      </c>
      <c r="C79" s="89">
        <v>24.7</v>
      </c>
      <c r="D79" s="89">
        <v>1</v>
      </c>
      <c r="E79" s="16">
        <v>3117</v>
      </c>
      <c r="F79" s="90"/>
      <c r="G79" s="90"/>
      <c r="H79" s="90"/>
      <c r="I79" s="90"/>
    </row>
    <row r="80" spans="1:9" x14ac:dyDescent="0.45">
      <c r="A80" s="89">
        <v>13.6</v>
      </c>
      <c r="B80" s="89">
        <v>47.4</v>
      </c>
      <c r="C80" s="89">
        <v>13.9</v>
      </c>
      <c r="D80" s="89">
        <v>1</v>
      </c>
      <c r="E80" s="16">
        <v>2471</v>
      </c>
      <c r="F80" s="90"/>
      <c r="G80" s="90"/>
      <c r="H80" s="90"/>
      <c r="I80" s="90"/>
    </row>
    <row r="81" spans="1:9" x14ac:dyDescent="0.45">
      <c r="A81" s="89">
        <v>17.600000000000001</v>
      </c>
      <c r="B81" s="89">
        <v>73.7</v>
      </c>
      <c r="C81" s="89">
        <v>19.3</v>
      </c>
      <c r="D81" s="89">
        <v>2</v>
      </c>
      <c r="E81" s="16">
        <v>2077</v>
      </c>
      <c r="F81" s="90"/>
      <c r="G81" s="90"/>
      <c r="H81" s="90"/>
      <c r="I81" s="90"/>
    </row>
    <row r="82" spans="1:9" x14ac:dyDescent="0.45">
      <c r="A82" s="89">
        <v>18.100000000000001</v>
      </c>
      <c r="B82" s="89">
        <v>62.5</v>
      </c>
      <c r="C82" s="89">
        <v>15.1</v>
      </c>
      <c r="D82" s="89">
        <v>1</v>
      </c>
      <c r="E82" s="16">
        <v>2703</v>
      </c>
      <c r="F82" s="90"/>
      <c r="G82" s="90"/>
      <c r="H82" s="90"/>
      <c r="I82" s="90"/>
    </row>
    <row r="83" spans="1:9" x14ac:dyDescent="0.45">
      <c r="A83" s="89">
        <v>14.2</v>
      </c>
      <c r="B83" s="89">
        <v>84</v>
      </c>
      <c r="C83" s="89">
        <v>15.7</v>
      </c>
      <c r="D83" s="89">
        <v>2</v>
      </c>
      <c r="E83" s="16">
        <v>2121</v>
      </c>
      <c r="F83" s="90"/>
      <c r="G83" s="90"/>
      <c r="H83" s="90"/>
      <c r="I83" s="90"/>
    </row>
    <row r="84" spans="1:9" x14ac:dyDescent="0.45">
      <c r="A84" s="89">
        <v>11.7</v>
      </c>
      <c r="B84" s="89">
        <v>80.599999999999994</v>
      </c>
      <c r="C84" s="89">
        <v>16.3</v>
      </c>
      <c r="D84" s="89">
        <v>2</v>
      </c>
      <c r="E84" s="16">
        <v>1865</v>
      </c>
      <c r="F84" s="90"/>
      <c r="G84" s="90"/>
      <c r="H84" s="90"/>
      <c r="I84" s="90"/>
    </row>
    <row r="85" spans="1:9" x14ac:dyDescent="0.45">
      <c r="A85" s="89">
        <v>10.8</v>
      </c>
      <c r="B85" s="89">
        <v>49.5</v>
      </c>
      <c r="C85" s="89">
        <v>15.5</v>
      </c>
      <c r="D85" s="89">
        <v>1</v>
      </c>
      <c r="E85" s="16">
        <v>2210</v>
      </c>
      <c r="F85" s="90"/>
      <c r="G85" s="90"/>
      <c r="H85" s="90"/>
      <c r="I85" s="90"/>
    </row>
    <row r="86" spans="1:9" x14ac:dyDescent="0.45">
      <c r="A86" s="89">
        <v>10.9</v>
      </c>
      <c r="B86" s="89">
        <v>39.4</v>
      </c>
      <c r="C86" s="89">
        <v>14</v>
      </c>
      <c r="D86" s="89">
        <v>1</v>
      </c>
      <c r="E86" s="16">
        <v>2496</v>
      </c>
      <c r="F86" s="90"/>
      <c r="G86" s="90"/>
      <c r="H86" s="90"/>
      <c r="I86" s="90"/>
    </row>
    <row r="87" spans="1:9" x14ac:dyDescent="0.45">
      <c r="A87" s="89">
        <v>10.4</v>
      </c>
      <c r="B87" s="89">
        <v>49.4</v>
      </c>
      <c r="C87" s="89">
        <v>12.3</v>
      </c>
      <c r="D87" s="89">
        <v>2</v>
      </c>
      <c r="E87" s="16">
        <v>1693</v>
      </c>
      <c r="F87" s="90"/>
      <c r="G87" s="90"/>
      <c r="H87" s="90"/>
      <c r="I87" s="90"/>
    </row>
    <row r="88" spans="1:9" x14ac:dyDescent="0.45">
      <c r="A88" s="89">
        <v>10.8</v>
      </c>
      <c r="B88" s="89">
        <v>30.2</v>
      </c>
      <c r="C88" s="89">
        <v>14.2</v>
      </c>
      <c r="D88" s="89">
        <v>1</v>
      </c>
      <c r="E88" s="16">
        <v>2028</v>
      </c>
      <c r="F88" s="90"/>
      <c r="G88" s="90"/>
      <c r="H88" s="90"/>
      <c r="I88" s="90"/>
    </row>
    <row r="89" spans="1:9" x14ac:dyDescent="0.45">
      <c r="A89" s="89">
        <v>12.4</v>
      </c>
      <c r="B89" s="89">
        <v>31.4</v>
      </c>
      <c r="C89" s="89">
        <v>15.2</v>
      </c>
      <c r="D89" s="89">
        <v>1</v>
      </c>
      <c r="E89" s="16">
        <v>2425</v>
      </c>
      <c r="F89" s="90"/>
      <c r="G89" s="90"/>
      <c r="H89" s="90"/>
      <c r="I89" s="90"/>
    </row>
    <row r="90" spans="1:9" x14ac:dyDescent="0.45">
      <c r="A90" s="89">
        <v>12.3</v>
      </c>
      <c r="B90" s="89">
        <v>64.7</v>
      </c>
      <c r="C90" s="89">
        <v>11.6</v>
      </c>
      <c r="D90" s="89">
        <v>2</v>
      </c>
      <c r="E90" s="16">
        <v>1536</v>
      </c>
      <c r="F90" s="90"/>
      <c r="G90" s="90"/>
      <c r="H90" s="90"/>
      <c r="I90" s="90"/>
    </row>
    <row r="91" spans="1:9" x14ac:dyDescent="0.45">
      <c r="A91" s="89">
        <v>11</v>
      </c>
      <c r="B91" s="89">
        <v>91.8</v>
      </c>
      <c r="C91" s="89">
        <v>14.6</v>
      </c>
      <c r="D91" s="89">
        <v>3</v>
      </c>
      <c r="E91" s="16">
        <v>1685</v>
      </c>
      <c r="F91" s="90"/>
      <c r="G91" s="90"/>
      <c r="H91" s="90"/>
      <c r="I91" s="90"/>
    </row>
    <row r="92" spans="1:9" x14ac:dyDescent="0.45">
      <c r="A92" s="89">
        <v>12.3</v>
      </c>
      <c r="B92" s="89">
        <v>68.599999999999994</v>
      </c>
      <c r="C92" s="89">
        <v>17.3</v>
      </c>
      <c r="D92" s="89">
        <v>2</v>
      </c>
      <c r="E92" s="16">
        <v>2227</v>
      </c>
      <c r="F92" s="90"/>
      <c r="G92" s="90"/>
      <c r="H92" s="90"/>
      <c r="I92" s="90"/>
    </row>
    <row r="93" spans="1:9" x14ac:dyDescent="0.45">
      <c r="A93" s="89">
        <v>12.9</v>
      </c>
      <c r="B93" s="89">
        <v>65.400000000000006</v>
      </c>
      <c r="C93" s="89">
        <v>13.2</v>
      </c>
      <c r="D93" s="89">
        <v>2</v>
      </c>
      <c r="E93" s="16">
        <v>2252</v>
      </c>
      <c r="F93" s="90"/>
      <c r="G93" s="90"/>
      <c r="H93" s="90"/>
      <c r="I93" s="90"/>
    </row>
    <row r="94" spans="1:9" x14ac:dyDescent="0.45">
      <c r="A94" s="89">
        <v>15.5</v>
      </c>
      <c r="B94" s="89">
        <v>48</v>
      </c>
      <c r="C94" s="89">
        <v>12.2</v>
      </c>
      <c r="D94" s="89">
        <v>1</v>
      </c>
      <c r="E94" s="16">
        <v>3249</v>
      </c>
      <c r="F94" s="90"/>
      <c r="G94" s="90"/>
      <c r="H94" s="90"/>
      <c r="I94" s="90"/>
    </row>
    <row r="95" spans="1:9" x14ac:dyDescent="0.45">
      <c r="A95" s="89">
        <v>23.5</v>
      </c>
      <c r="B95" s="89">
        <v>42.6</v>
      </c>
      <c r="C95" s="89">
        <v>25.8</v>
      </c>
      <c r="D95" s="89">
        <v>1</v>
      </c>
      <c r="E95" s="16">
        <v>3115</v>
      </c>
      <c r="F95" s="90"/>
      <c r="G95" s="90"/>
      <c r="H95" s="90"/>
      <c r="I95" s="90"/>
    </row>
    <row r="96" spans="1:9" x14ac:dyDescent="0.45">
      <c r="A96" s="89">
        <v>17</v>
      </c>
      <c r="B96" s="89">
        <v>64.2</v>
      </c>
      <c r="C96" s="89">
        <v>26</v>
      </c>
      <c r="D96" s="89">
        <v>2</v>
      </c>
      <c r="E96" s="16">
        <v>1795</v>
      </c>
      <c r="F96" s="90"/>
      <c r="G96" s="90"/>
      <c r="H96" s="90"/>
      <c r="I96" s="90"/>
    </row>
    <row r="97" spans="1:9" x14ac:dyDescent="0.45">
      <c r="A97" s="89">
        <v>16</v>
      </c>
      <c r="B97" s="89">
        <v>47.1</v>
      </c>
      <c r="C97" s="89">
        <v>17.600000000000001</v>
      </c>
      <c r="D97" s="89">
        <v>1</v>
      </c>
      <c r="E97" s="16">
        <v>2808</v>
      </c>
      <c r="F97" s="90"/>
      <c r="G97" s="90"/>
      <c r="H97" s="90"/>
      <c r="I97" s="90"/>
    </row>
    <row r="98" spans="1:9" x14ac:dyDescent="0.45">
      <c r="A98" s="89">
        <v>17.899999999999999</v>
      </c>
      <c r="B98" s="89">
        <v>60.3</v>
      </c>
      <c r="C98" s="89">
        <v>10.9</v>
      </c>
      <c r="D98" s="89">
        <v>1</v>
      </c>
      <c r="E98" s="16">
        <v>3141</v>
      </c>
      <c r="F98" s="90"/>
      <c r="G98" s="90"/>
      <c r="H98" s="90"/>
      <c r="I98" s="90"/>
    </row>
    <row r="99" spans="1:9" x14ac:dyDescent="0.45">
      <c r="A99" s="89">
        <v>13.8</v>
      </c>
      <c r="B99" s="89">
        <v>83.6</v>
      </c>
      <c r="C99" s="89">
        <v>15.2</v>
      </c>
      <c r="D99" s="89">
        <v>2</v>
      </c>
      <c r="E99" s="16">
        <v>1471</v>
      </c>
      <c r="F99" s="90"/>
      <c r="G99" s="90"/>
      <c r="H99" s="90"/>
      <c r="I99" s="90"/>
    </row>
    <row r="100" spans="1:9" x14ac:dyDescent="0.45">
      <c r="A100" s="89">
        <v>14</v>
      </c>
      <c r="B100" s="89">
        <v>87.8</v>
      </c>
      <c r="C100" s="89">
        <v>8.9</v>
      </c>
      <c r="D100" s="89">
        <v>2</v>
      </c>
      <c r="E100" s="16">
        <v>2455</v>
      </c>
      <c r="F100" s="90"/>
      <c r="G100" s="90"/>
      <c r="H100" s="90"/>
      <c r="I100" s="90"/>
    </row>
    <row r="101" spans="1:9" x14ac:dyDescent="0.45">
      <c r="A101" s="89">
        <v>17.5</v>
      </c>
      <c r="B101" s="89">
        <v>85.8</v>
      </c>
      <c r="C101" s="89">
        <v>9.8000000000000007</v>
      </c>
      <c r="D101" s="89">
        <v>2</v>
      </c>
      <c r="E101" s="16">
        <v>2895</v>
      </c>
      <c r="F101" s="90"/>
      <c r="G101" s="90"/>
      <c r="H101" s="90"/>
      <c r="I101" s="90"/>
    </row>
    <row r="102" spans="1:9" x14ac:dyDescent="0.45">
      <c r="A102" s="89">
        <v>24.4</v>
      </c>
      <c r="B102" s="89">
        <v>71.7</v>
      </c>
      <c r="C102" s="89">
        <v>21.7</v>
      </c>
      <c r="D102" s="89">
        <v>2</v>
      </c>
      <c r="E102" s="16">
        <v>3348</v>
      </c>
      <c r="F102" s="90"/>
      <c r="G102" s="90"/>
      <c r="H102" s="90"/>
      <c r="I102" s="90"/>
    </row>
    <row r="103" spans="1:9" x14ac:dyDescent="0.45">
      <c r="A103" s="89">
        <v>20.6</v>
      </c>
      <c r="B103" s="89">
        <v>73.900000000000006</v>
      </c>
      <c r="C103" s="89">
        <v>18.399999999999999</v>
      </c>
      <c r="D103" s="89">
        <v>2</v>
      </c>
      <c r="E103" s="16">
        <v>2034</v>
      </c>
      <c r="F103" s="90"/>
      <c r="G103" s="90"/>
      <c r="H103" s="90"/>
      <c r="I103" s="90"/>
    </row>
    <row r="104" spans="1:9" x14ac:dyDescent="0.45">
      <c r="A104" s="89">
        <v>16.899999999999999</v>
      </c>
      <c r="B104" s="89">
        <v>81.900000000000006</v>
      </c>
      <c r="C104" s="89">
        <v>16.8</v>
      </c>
      <c r="D104" s="89">
        <v>2</v>
      </c>
      <c r="E104" s="16">
        <v>2162</v>
      </c>
      <c r="F104" s="90"/>
      <c r="G104" s="90"/>
      <c r="H104" s="90"/>
      <c r="I104" s="90"/>
    </row>
    <row r="105" spans="1:9" x14ac:dyDescent="0.45">
      <c r="A105" s="89">
        <v>19.2</v>
      </c>
      <c r="B105" s="89">
        <v>54</v>
      </c>
      <c r="C105" s="89">
        <v>7.4</v>
      </c>
      <c r="D105" s="89">
        <v>1</v>
      </c>
      <c r="E105" s="16">
        <v>3267</v>
      </c>
      <c r="F105" s="90"/>
      <c r="G105" s="90"/>
      <c r="H105" s="90"/>
      <c r="I105" s="90"/>
    </row>
    <row r="106" spans="1:9" x14ac:dyDescent="0.45">
      <c r="A106" s="89">
        <v>18.3</v>
      </c>
      <c r="B106" s="89">
        <v>67.099999999999994</v>
      </c>
      <c r="C106" s="89">
        <v>15.2</v>
      </c>
      <c r="D106" s="89">
        <v>1</v>
      </c>
      <c r="E106" s="16">
        <v>3126</v>
      </c>
      <c r="F106" s="90"/>
      <c r="G106" s="90"/>
      <c r="H106" s="90"/>
      <c r="I106" s="90"/>
    </row>
    <row r="107" spans="1:9" x14ac:dyDescent="0.45">
      <c r="A107" s="89">
        <v>17.7</v>
      </c>
      <c r="B107" s="89">
        <v>88.8</v>
      </c>
      <c r="C107" s="89">
        <v>22.8</v>
      </c>
      <c r="D107" s="89">
        <v>3</v>
      </c>
      <c r="E107" s="16">
        <v>795</v>
      </c>
      <c r="F107" s="90"/>
      <c r="G107" s="90"/>
      <c r="H107" s="90"/>
      <c r="I107" s="90"/>
    </row>
    <row r="108" spans="1:9" x14ac:dyDescent="0.45">
      <c r="A108" s="89">
        <v>18.7</v>
      </c>
      <c r="B108" s="89">
        <v>48</v>
      </c>
      <c r="C108" s="89">
        <v>20.3</v>
      </c>
      <c r="D108" s="89">
        <v>1</v>
      </c>
      <c r="E108" s="16">
        <v>3744</v>
      </c>
      <c r="F108" s="90"/>
      <c r="G108" s="90"/>
      <c r="H108" s="90"/>
      <c r="I108" s="90"/>
    </row>
    <row r="109" spans="1:9" x14ac:dyDescent="0.45">
      <c r="A109" s="89">
        <v>21</v>
      </c>
      <c r="B109" s="89">
        <v>54.2</v>
      </c>
      <c r="C109" s="89">
        <v>11</v>
      </c>
      <c r="D109" s="89">
        <v>1</v>
      </c>
      <c r="E109" s="16">
        <v>3429</v>
      </c>
      <c r="F109" s="90"/>
      <c r="G109" s="90"/>
      <c r="H109" s="90"/>
      <c r="I109" s="90"/>
    </row>
    <row r="110" spans="1:9" x14ac:dyDescent="0.45">
      <c r="A110" s="89">
        <v>20.7</v>
      </c>
      <c r="B110" s="89">
        <v>66.599999999999994</v>
      </c>
      <c r="C110" s="89">
        <v>10.6</v>
      </c>
      <c r="D110" s="89">
        <v>2</v>
      </c>
      <c r="E110" s="16">
        <v>3204</v>
      </c>
      <c r="F110" s="90"/>
      <c r="G110" s="90"/>
      <c r="H110" s="90"/>
      <c r="I110" s="90"/>
    </row>
    <row r="111" spans="1:9" x14ac:dyDescent="0.45">
      <c r="A111" s="89">
        <v>24.4</v>
      </c>
      <c r="B111" s="89">
        <v>61.4</v>
      </c>
      <c r="C111" s="89">
        <v>16.2</v>
      </c>
      <c r="D111" s="89">
        <v>1</v>
      </c>
      <c r="E111" s="16">
        <v>3944</v>
      </c>
      <c r="F111" s="90"/>
      <c r="G111" s="90"/>
      <c r="H111" s="90"/>
      <c r="I111" s="90"/>
    </row>
    <row r="112" spans="1:9" x14ac:dyDescent="0.45">
      <c r="A112" s="89">
        <v>18.8</v>
      </c>
      <c r="B112" s="89">
        <v>40.700000000000003</v>
      </c>
      <c r="C112" s="89">
        <v>21.8</v>
      </c>
      <c r="D112" s="89">
        <v>1</v>
      </c>
      <c r="E112" s="16">
        <v>4189</v>
      </c>
      <c r="F112" s="90"/>
      <c r="G112" s="90"/>
      <c r="H112" s="90"/>
      <c r="I112" s="90"/>
    </row>
    <row r="113" spans="1:9" x14ac:dyDescent="0.45">
      <c r="A113" s="89">
        <v>13.8</v>
      </c>
      <c r="B113" s="89">
        <v>73</v>
      </c>
      <c r="C113" s="89">
        <v>14.7</v>
      </c>
      <c r="D113" s="89">
        <v>2</v>
      </c>
      <c r="E113" s="16">
        <v>1683</v>
      </c>
      <c r="F113" s="90"/>
      <c r="G113" s="90"/>
      <c r="H113" s="90"/>
      <c r="I113" s="90"/>
    </row>
    <row r="114" spans="1:9" x14ac:dyDescent="0.45">
      <c r="A114" s="89">
        <v>18.899999999999999</v>
      </c>
      <c r="B114" s="89">
        <v>88.8</v>
      </c>
      <c r="C114" s="89">
        <v>15.5</v>
      </c>
      <c r="D114" s="89">
        <v>2</v>
      </c>
      <c r="E114" s="16">
        <v>4036</v>
      </c>
      <c r="F114" s="90"/>
      <c r="G114" s="90"/>
      <c r="H114" s="90"/>
      <c r="I114" s="90"/>
    </row>
    <row r="115" spans="1:9" x14ac:dyDescent="0.45">
      <c r="A115" s="89">
        <v>23.8</v>
      </c>
      <c r="B115" s="89">
        <v>81.099999999999994</v>
      </c>
      <c r="C115" s="89">
        <v>12.9</v>
      </c>
      <c r="D115" s="89">
        <v>2</v>
      </c>
      <c r="E115" s="16">
        <v>4191</v>
      </c>
      <c r="F115" s="90"/>
      <c r="G115" s="90"/>
      <c r="H115" s="90"/>
      <c r="I115" s="90"/>
    </row>
    <row r="116" spans="1:9" x14ac:dyDescent="0.45">
      <c r="A116" s="89">
        <v>24.9</v>
      </c>
      <c r="B116" s="89">
        <v>77.7</v>
      </c>
      <c r="C116" s="89">
        <v>12.4</v>
      </c>
      <c r="D116" s="89">
        <v>1</v>
      </c>
      <c r="E116" s="16">
        <v>4073</v>
      </c>
      <c r="F116" s="90"/>
      <c r="G116" s="90"/>
      <c r="H116" s="90"/>
      <c r="I116" s="90"/>
    </row>
    <row r="117" spans="1:9" x14ac:dyDescent="0.45">
      <c r="A117" s="89">
        <v>25.9</v>
      </c>
      <c r="B117" s="89">
        <v>72.900000000000006</v>
      </c>
      <c r="C117" s="89">
        <v>21.9</v>
      </c>
      <c r="D117" s="89">
        <v>1</v>
      </c>
      <c r="E117" s="16">
        <v>4400</v>
      </c>
      <c r="F117" s="90"/>
      <c r="G117" s="90"/>
      <c r="H117" s="90"/>
      <c r="I117" s="90"/>
    </row>
    <row r="118" spans="1:9" x14ac:dyDescent="0.45">
      <c r="A118" s="89">
        <v>25.4</v>
      </c>
      <c r="B118" s="89">
        <v>83.5</v>
      </c>
      <c r="C118" s="89">
        <v>20.9</v>
      </c>
      <c r="D118" s="89">
        <v>2</v>
      </c>
      <c r="E118" s="16">
        <v>3872</v>
      </c>
      <c r="F118" s="90"/>
      <c r="G118" s="90"/>
      <c r="H118" s="90"/>
      <c r="I118" s="90"/>
    </row>
    <row r="119" spans="1:9" x14ac:dyDescent="0.45">
      <c r="A119" s="89">
        <v>25.3</v>
      </c>
      <c r="B119" s="89">
        <v>70.099999999999994</v>
      </c>
      <c r="C119" s="89">
        <v>21.5</v>
      </c>
      <c r="D119" s="89">
        <v>2</v>
      </c>
      <c r="E119" s="16">
        <v>4058</v>
      </c>
      <c r="F119" s="90"/>
      <c r="G119" s="90"/>
      <c r="H119" s="90"/>
      <c r="I119" s="90"/>
    </row>
    <row r="120" spans="1:9" x14ac:dyDescent="0.45">
      <c r="A120" s="89">
        <v>20.9</v>
      </c>
      <c r="B120" s="89">
        <v>45.7</v>
      </c>
      <c r="C120" s="89">
        <v>16.100000000000001</v>
      </c>
      <c r="D120" s="89">
        <v>1</v>
      </c>
      <c r="E120" s="16">
        <v>4595</v>
      </c>
      <c r="F120" s="90"/>
      <c r="G120" s="90"/>
      <c r="H120" s="90"/>
      <c r="I120" s="90"/>
    </row>
    <row r="121" spans="1:9" x14ac:dyDescent="0.45">
      <c r="A121" s="89">
        <v>19.399999999999999</v>
      </c>
      <c r="B121" s="89">
        <v>50.3</v>
      </c>
      <c r="C121" s="89">
        <v>15.8</v>
      </c>
      <c r="D121" s="89">
        <v>1</v>
      </c>
      <c r="E121" s="16">
        <v>5312</v>
      </c>
      <c r="F121" s="90"/>
      <c r="G121" s="90"/>
      <c r="H121" s="90"/>
      <c r="I121" s="90"/>
    </row>
    <row r="122" spans="1:9" x14ac:dyDescent="0.45">
      <c r="A122" s="89">
        <v>18.5</v>
      </c>
      <c r="B122" s="89">
        <v>76.2</v>
      </c>
      <c r="C122" s="89">
        <v>7.1</v>
      </c>
      <c r="D122" s="89">
        <v>2</v>
      </c>
      <c r="E122" s="16">
        <v>3351</v>
      </c>
      <c r="F122" s="90"/>
      <c r="G122" s="90"/>
      <c r="H122" s="90"/>
      <c r="I122" s="90"/>
    </row>
    <row r="123" spans="1:9" x14ac:dyDescent="0.45">
      <c r="A123" s="89">
        <v>22.5</v>
      </c>
      <c r="B123" s="89">
        <v>73</v>
      </c>
      <c r="C123" s="89">
        <v>12.3</v>
      </c>
      <c r="D123" s="89">
        <v>2</v>
      </c>
      <c r="E123" s="16">
        <v>4401</v>
      </c>
      <c r="F123" s="90"/>
      <c r="G123" s="90"/>
      <c r="H123" s="90"/>
      <c r="I123" s="90"/>
    </row>
    <row r="124" spans="1:9" x14ac:dyDescent="0.45">
      <c r="A124" s="89">
        <v>25.3</v>
      </c>
      <c r="B124" s="89">
        <v>69.7</v>
      </c>
      <c r="C124" s="89">
        <v>23</v>
      </c>
      <c r="D124" s="89">
        <v>2</v>
      </c>
      <c r="E124" s="16">
        <v>4451</v>
      </c>
      <c r="F124" s="90"/>
      <c r="G124" s="90"/>
      <c r="H124" s="90"/>
      <c r="I124" s="90"/>
    </row>
    <row r="125" spans="1:9" x14ac:dyDescent="0.45">
      <c r="A125" s="89">
        <v>17</v>
      </c>
      <c r="B125" s="89">
        <v>73.7</v>
      </c>
      <c r="C125" s="89">
        <v>22</v>
      </c>
      <c r="D125" s="89">
        <v>2</v>
      </c>
      <c r="E125" s="16">
        <v>2633</v>
      </c>
      <c r="F125" s="90"/>
      <c r="G125" s="90"/>
      <c r="H125" s="90"/>
      <c r="I125" s="90"/>
    </row>
    <row r="126" spans="1:9" x14ac:dyDescent="0.45">
      <c r="A126" s="89">
        <v>18.8</v>
      </c>
      <c r="B126" s="89">
        <v>44.4</v>
      </c>
      <c r="C126" s="89">
        <v>19.8</v>
      </c>
      <c r="D126" s="89">
        <v>1</v>
      </c>
      <c r="E126" s="16">
        <v>4433</v>
      </c>
      <c r="F126" s="90"/>
      <c r="G126" s="90"/>
      <c r="H126" s="90"/>
      <c r="I126" s="90"/>
    </row>
    <row r="127" spans="1:9" x14ac:dyDescent="0.45">
      <c r="A127" s="89">
        <v>19.600000000000001</v>
      </c>
      <c r="B127" s="89">
        <v>59</v>
      </c>
      <c r="C127" s="89">
        <v>15.3</v>
      </c>
      <c r="D127" s="89">
        <v>1</v>
      </c>
      <c r="E127" s="16">
        <v>4608</v>
      </c>
      <c r="F127" s="90"/>
      <c r="G127" s="90"/>
      <c r="H127" s="90"/>
      <c r="I127" s="90"/>
    </row>
    <row r="128" spans="1:9" x14ac:dyDescent="0.45">
      <c r="A128" s="89">
        <v>21.3</v>
      </c>
      <c r="B128" s="89">
        <v>54.1</v>
      </c>
      <c r="C128" s="89">
        <v>10.8</v>
      </c>
      <c r="D128" s="89">
        <v>1</v>
      </c>
      <c r="E128" s="16">
        <v>4714</v>
      </c>
      <c r="F128" s="90"/>
      <c r="G128" s="90"/>
      <c r="H128" s="90"/>
      <c r="I128" s="90"/>
    </row>
    <row r="129" spans="1:9" x14ac:dyDescent="0.45">
      <c r="A129" s="89">
        <v>21.7</v>
      </c>
      <c r="B129" s="89">
        <v>63.2</v>
      </c>
      <c r="C129" s="89">
        <v>5</v>
      </c>
      <c r="D129" s="89">
        <v>1</v>
      </c>
      <c r="E129" s="16">
        <v>4333</v>
      </c>
      <c r="F129" s="90"/>
      <c r="G129" s="90"/>
      <c r="H129" s="90"/>
      <c r="I129" s="90"/>
    </row>
    <row r="130" spans="1:9" x14ac:dyDescent="0.45">
      <c r="A130" s="89">
        <v>21.8</v>
      </c>
      <c r="B130" s="89">
        <v>58.9</v>
      </c>
      <c r="C130" s="89">
        <v>11.8</v>
      </c>
      <c r="D130" s="89">
        <v>1</v>
      </c>
      <c r="E130" s="16">
        <v>4362</v>
      </c>
      <c r="F130" s="90"/>
      <c r="G130" s="90"/>
      <c r="H130" s="90"/>
      <c r="I130" s="90"/>
    </row>
    <row r="131" spans="1:9" x14ac:dyDescent="0.45">
      <c r="A131" s="89">
        <v>21.8</v>
      </c>
      <c r="B131" s="89">
        <v>48.9</v>
      </c>
      <c r="C131" s="89">
        <v>7.7</v>
      </c>
      <c r="D131" s="89">
        <v>1</v>
      </c>
      <c r="E131" s="16">
        <v>4803</v>
      </c>
      <c r="F131" s="90"/>
      <c r="G131" s="90"/>
      <c r="H131" s="90"/>
      <c r="I131" s="90"/>
    </row>
    <row r="132" spans="1:9" x14ac:dyDescent="0.45">
      <c r="A132" s="89">
        <v>22.2</v>
      </c>
      <c r="B132" s="89">
        <v>63.3</v>
      </c>
      <c r="C132" s="89">
        <v>8.1</v>
      </c>
      <c r="D132" s="89">
        <v>1</v>
      </c>
      <c r="E132" s="16">
        <v>4182</v>
      </c>
      <c r="F132" s="90"/>
      <c r="G132" s="90"/>
      <c r="H132" s="90"/>
      <c r="I132" s="90"/>
    </row>
    <row r="133" spans="1:9" x14ac:dyDescent="0.45">
      <c r="A133" s="89">
        <v>21.9</v>
      </c>
      <c r="B133" s="89">
        <v>74.8</v>
      </c>
      <c r="C133" s="89">
        <v>12.7</v>
      </c>
      <c r="D133" s="89">
        <v>1</v>
      </c>
      <c r="E133" s="16">
        <v>4864</v>
      </c>
      <c r="F133" s="90"/>
      <c r="G133" s="90"/>
      <c r="H133" s="90"/>
      <c r="I133" s="90"/>
    </row>
    <row r="134" spans="1:9" x14ac:dyDescent="0.45">
      <c r="A134" s="89">
        <v>21</v>
      </c>
      <c r="B134" s="89">
        <v>86.3</v>
      </c>
      <c r="C134" s="89">
        <v>12</v>
      </c>
      <c r="D134" s="89">
        <v>2</v>
      </c>
      <c r="E134" s="16">
        <v>4105</v>
      </c>
      <c r="F134" s="90"/>
      <c r="G134" s="90"/>
      <c r="H134" s="90"/>
      <c r="I134" s="90"/>
    </row>
    <row r="135" spans="1:9" x14ac:dyDescent="0.45">
      <c r="A135" s="89">
        <v>21.4</v>
      </c>
      <c r="B135" s="89">
        <v>92.2</v>
      </c>
      <c r="C135" s="89">
        <v>9</v>
      </c>
      <c r="D135" s="89">
        <v>2</v>
      </c>
      <c r="E135" s="16">
        <v>3409</v>
      </c>
      <c r="F135" s="90"/>
      <c r="G135" s="90"/>
      <c r="H135" s="90"/>
      <c r="I135" s="90"/>
    </row>
    <row r="136" spans="1:9" x14ac:dyDescent="0.45">
      <c r="A136" s="89">
        <v>23.1</v>
      </c>
      <c r="B136" s="89">
        <v>86.7</v>
      </c>
      <c r="C136" s="89">
        <v>10.199999999999999</v>
      </c>
      <c r="D136" s="89">
        <v>2</v>
      </c>
      <c r="E136" s="16">
        <v>4553</v>
      </c>
      <c r="F136" s="90"/>
      <c r="G136" s="90"/>
      <c r="H136" s="90"/>
      <c r="I136" s="90"/>
    </row>
    <row r="137" spans="1:9" x14ac:dyDescent="0.45">
      <c r="A137" s="89">
        <v>23.7</v>
      </c>
      <c r="B137" s="89">
        <v>78.8</v>
      </c>
      <c r="C137" s="89">
        <v>8.5</v>
      </c>
      <c r="D137" s="89">
        <v>1</v>
      </c>
      <c r="E137" s="16">
        <v>3958</v>
      </c>
      <c r="F137" s="90"/>
      <c r="G137" s="90"/>
      <c r="H137" s="90"/>
      <c r="I137" s="90"/>
    </row>
    <row r="138" spans="1:9" x14ac:dyDescent="0.45">
      <c r="A138" s="89">
        <v>23</v>
      </c>
      <c r="B138" s="89">
        <v>83.8</v>
      </c>
      <c r="C138" s="89">
        <v>18.600000000000001</v>
      </c>
      <c r="D138" s="89">
        <v>2</v>
      </c>
      <c r="E138" s="16">
        <v>4123</v>
      </c>
      <c r="F138" s="90"/>
      <c r="G138" s="90"/>
      <c r="H138" s="90"/>
      <c r="I138" s="90"/>
    </row>
    <row r="139" spans="1:9" x14ac:dyDescent="0.45">
      <c r="A139" s="89">
        <v>22.6</v>
      </c>
      <c r="B139" s="89">
        <v>87</v>
      </c>
      <c r="C139" s="89">
        <v>13.5</v>
      </c>
      <c r="D139" s="89">
        <v>2</v>
      </c>
      <c r="E139" s="16">
        <v>3855</v>
      </c>
      <c r="F139" s="90"/>
      <c r="G139" s="90"/>
      <c r="H139" s="90"/>
      <c r="I139" s="90"/>
    </row>
    <row r="140" spans="1:9" x14ac:dyDescent="0.45">
      <c r="A140" s="89">
        <v>21.8</v>
      </c>
      <c r="B140" s="89">
        <v>83</v>
      </c>
      <c r="C140" s="89">
        <v>7.3</v>
      </c>
      <c r="D140" s="89">
        <v>2</v>
      </c>
      <c r="E140" s="16">
        <v>4575</v>
      </c>
      <c r="F140" s="90"/>
      <c r="G140" s="90"/>
      <c r="H140" s="90"/>
      <c r="I140" s="90"/>
    </row>
    <row r="141" spans="1:9" x14ac:dyDescent="0.45">
      <c r="A141" s="89">
        <v>22</v>
      </c>
      <c r="B141" s="89">
        <v>72</v>
      </c>
      <c r="C141" s="89">
        <v>8.4</v>
      </c>
      <c r="D141" s="89">
        <v>1</v>
      </c>
      <c r="E141" s="16">
        <v>4917</v>
      </c>
      <c r="F141" s="90"/>
      <c r="G141" s="90"/>
      <c r="H141" s="90"/>
      <c r="I141" s="90"/>
    </row>
    <row r="142" spans="1:9" x14ac:dyDescent="0.45">
      <c r="A142" s="89">
        <v>24.7</v>
      </c>
      <c r="B142" s="89">
        <v>62.7</v>
      </c>
      <c r="C142" s="89">
        <v>8.1</v>
      </c>
      <c r="D142" s="89">
        <v>1</v>
      </c>
      <c r="E142" s="16">
        <v>5805</v>
      </c>
      <c r="F142" s="90"/>
      <c r="G142" s="90"/>
      <c r="H142" s="90"/>
      <c r="I142" s="90"/>
    </row>
    <row r="143" spans="1:9" x14ac:dyDescent="0.45">
      <c r="A143" s="89">
        <v>24.8</v>
      </c>
      <c r="B143" s="89">
        <v>75</v>
      </c>
      <c r="C143" s="89">
        <v>9.9</v>
      </c>
      <c r="D143" s="89">
        <v>1</v>
      </c>
      <c r="E143" s="16">
        <v>4660</v>
      </c>
      <c r="F143" s="90"/>
      <c r="G143" s="90"/>
      <c r="H143" s="90"/>
      <c r="I143" s="90"/>
    </row>
    <row r="144" spans="1:9" x14ac:dyDescent="0.45">
      <c r="A144" s="89">
        <v>25.9</v>
      </c>
      <c r="B144" s="89">
        <v>81</v>
      </c>
      <c r="C144" s="89">
        <v>15.7</v>
      </c>
      <c r="D144" s="89">
        <v>2</v>
      </c>
      <c r="E144" s="16">
        <v>4274</v>
      </c>
      <c r="F144" s="90"/>
      <c r="G144" s="90"/>
      <c r="H144" s="90"/>
      <c r="I144" s="90"/>
    </row>
    <row r="145" spans="1:9" x14ac:dyDescent="0.45">
      <c r="A145" s="89">
        <v>27.1</v>
      </c>
      <c r="B145" s="89">
        <v>74.099999999999994</v>
      </c>
      <c r="C145" s="89">
        <v>13.9</v>
      </c>
      <c r="D145" s="89">
        <v>2</v>
      </c>
      <c r="E145" s="16">
        <v>4492</v>
      </c>
      <c r="F145" s="90"/>
      <c r="G145" s="90"/>
      <c r="H145" s="90"/>
      <c r="I145" s="90"/>
    </row>
    <row r="146" spans="1:9" x14ac:dyDescent="0.45">
      <c r="A146" s="89">
        <v>27.1</v>
      </c>
      <c r="B146" s="89">
        <v>69.599999999999994</v>
      </c>
      <c r="C146" s="89">
        <v>10.3</v>
      </c>
      <c r="D146" s="89">
        <v>1</v>
      </c>
      <c r="E146" s="16">
        <v>4978</v>
      </c>
      <c r="F146" s="90"/>
      <c r="G146" s="90"/>
      <c r="H146" s="90"/>
      <c r="I146" s="90"/>
    </row>
    <row r="147" spans="1:9" x14ac:dyDescent="0.45">
      <c r="A147" s="89">
        <v>29</v>
      </c>
      <c r="B147" s="89">
        <v>67.8</v>
      </c>
      <c r="C147" s="89">
        <v>13.4</v>
      </c>
      <c r="D147" s="89">
        <v>1</v>
      </c>
      <c r="E147" s="16">
        <v>4677</v>
      </c>
      <c r="F147" s="90"/>
      <c r="G147" s="90"/>
      <c r="H147" s="90"/>
      <c r="I147" s="90"/>
    </row>
    <row r="148" spans="1:9" x14ac:dyDescent="0.45">
      <c r="A148" s="89">
        <v>27.9</v>
      </c>
      <c r="B148" s="89">
        <v>65.400000000000006</v>
      </c>
      <c r="C148" s="89">
        <v>16.100000000000001</v>
      </c>
      <c r="D148" s="89">
        <v>1</v>
      </c>
      <c r="E148" s="16">
        <v>4679</v>
      </c>
      <c r="F148" s="90"/>
      <c r="G148" s="90"/>
      <c r="H148" s="90"/>
      <c r="I148" s="90"/>
    </row>
    <row r="149" spans="1:9" x14ac:dyDescent="0.45">
      <c r="A149" s="89">
        <v>26.9</v>
      </c>
      <c r="B149" s="89">
        <v>73</v>
      </c>
      <c r="C149" s="89">
        <v>15.4</v>
      </c>
      <c r="D149" s="89">
        <v>1</v>
      </c>
      <c r="E149" s="16">
        <v>4758</v>
      </c>
      <c r="F149" s="90"/>
      <c r="G149" s="90"/>
      <c r="H149" s="90"/>
      <c r="I149" s="90"/>
    </row>
    <row r="150" spans="1:9" x14ac:dyDescent="0.45">
      <c r="A150" s="89">
        <v>27.4</v>
      </c>
      <c r="B150" s="89">
        <v>81.900000000000006</v>
      </c>
      <c r="C150" s="89">
        <v>14.3</v>
      </c>
      <c r="D150" s="89">
        <v>1</v>
      </c>
      <c r="E150" s="16">
        <v>4788</v>
      </c>
      <c r="F150" s="90"/>
      <c r="G150" s="90"/>
      <c r="H150" s="90"/>
      <c r="I150" s="90"/>
    </row>
    <row r="151" spans="1:9" x14ac:dyDescent="0.45">
      <c r="A151" s="89">
        <v>30.1</v>
      </c>
      <c r="B151" s="89">
        <v>68.5</v>
      </c>
      <c r="C151" s="89">
        <v>8.8000000000000007</v>
      </c>
      <c r="D151" s="89">
        <v>1</v>
      </c>
      <c r="E151" s="16">
        <v>4098</v>
      </c>
      <c r="F151" s="90"/>
      <c r="G151" s="90"/>
      <c r="H151" s="90"/>
      <c r="I151" s="90"/>
    </row>
    <row r="152" spans="1:9" x14ac:dyDescent="0.45">
      <c r="A152" s="89">
        <v>31.8</v>
      </c>
      <c r="B152" s="89">
        <v>63.7</v>
      </c>
      <c r="C152" s="89">
        <v>7.5</v>
      </c>
      <c r="D152" s="89">
        <v>1</v>
      </c>
      <c r="E152" s="16">
        <v>3982</v>
      </c>
      <c r="F152" s="90"/>
      <c r="G152" s="90"/>
      <c r="H152" s="90"/>
      <c r="I152" s="90"/>
    </row>
    <row r="153" spans="1:9" x14ac:dyDescent="0.45">
      <c r="A153" s="89">
        <v>31.3</v>
      </c>
      <c r="B153" s="89">
        <v>67.7</v>
      </c>
      <c r="C153" s="89">
        <v>13.9</v>
      </c>
      <c r="D153" s="89">
        <v>2</v>
      </c>
      <c r="E153" s="16">
        <v>3974</v>
      </c>
      <c r="F153" s="90"/>
      <c r="G153" s="90"/>
      <c r="H153" s="90"/>
      <c r="I153" s="90"/>
    </row>
    <row r="154" spans="1:9" x14ac:dyDescent="0.45">
      <c r="A154" s="89">
        <v>29.3</v>
      </c>
      <c r="B154" s="89">
        <v>30.5</v>
      </c>
      <c r="C154" s="89">
        <v>19.600000000000001</v>
      </c>
      <c r="D154" s="89">
        <v>1</v>
      </c>
      <c r="E154" s="16">
        <v>4968</v>
      </c>
      <c r="F154" s="90"/>
      <c r="G154" s="90"/>
      <c r="H154" s="90"/>
      <c r="I154" s="90"/>
    </row>
    <row r="155" spans="1:9" x14ac:dyDescent="0.45">
      <c r="A155" s="89">
        <v>25.4</v>
      </c>
      <c r="B155" s="89">
        <v>35.4</v>
      </c>
      <c r="C155" s="89">
        <v>17</v>
      </c>
      <c r="D155" s="89">
        <v>1</v>
      </c>
      <c r="E155" s="16">
        <v>5312</v>
      </c>
      <c r="F155" s="90"/>
      <c r="G155" s="90"/>
      <c r="H155" s="90"/>
      <c r="I155" s="90"/>
    </row>
    <row r="156" spans="1:9" x14ac:dyDescent="0.45">
      <c r="A156" s="89">
        <v>26</v>
      </c>
      <c r="B156" s="89">
        <v>45.6</v>
      </c>
      <c r="C156" s="89">
        <v>8.3000000000000007</v>
      </c>
      <c r="D156" s="89">
        <v>1</v>
      </c>
      <c r="E156" s="16">
        <v>5342</v>
      </c>
      <c r="F156" s="90"/>
      <c r="G156" s="90"/>
      <c r="H156" s="90"/>
      <c r="I156" s="90"/>
    </row>
    <row r="157" spans="1:9" x14ac:dyDescent="0.45">
      <c r="A157" s="89">
        <v>26.6</v>
      </c>
      <c r="B157" s="89">
        <v>65.2</v>
      </c>
      <c r="C157" s="89">
        <v>9.3000000000000007</v>
      </c>
      <c r="D157" s="89">
        <v>2</v>
      </c>
      <c r="E157" s="16">
        <v>4906</v>
      </c>
      <c r="F157" s="90"/>
      <c r="G157" s="90"/>
      <c r="H157" s="90"/>
      <c r="I157" s="90"/>
    </row>
    <row r="158" spans="1:9" x14ac:dyDescent="0.45">
      <c r="A158" s="89">
        <v>27.8</v>
      </c>
      <c r="B158" s="89">
        <v>60</v>
      </c>
      <c r="C158" s="89">
        <v>8.1999999999999993</v>
      </c>
      <c r="D158" s="89">
        <v>1</v>
      </c>
      <c r="E158" s="16">
        <v>4548</v>
      </c>
      <c r="F158" s="90"/>
      <c r="G158" s="90"/>
      <c r="H158" s="90"/>
      <c r="I158" s="90"/>
    </row>
    <row r="159" spans="1:9" x14ac:dyDescent="0.45">
      <c r="A159" s="89">
        <v>29</v>
      </c>
      <c r="B159" s="89">
        <v>59.8</v>
      </c>
      <c r="C159" s="89">
        <v>12.6</v>
      </c>
      <c r="D159" s="89">
        <v>1</v>
      </c>
      <c r="E159" s="16">
        <v>4833</v>
      </c>
      <c r="F159" s="90"/>
      <c r="G159" s="90"/>
      <c r="H159" s="90"/>
      <c r="I159" s="90"/>
    </row>
    <row r="160" spans="1:9" x14ac:dyDescent="0.45">
      <c r="A160" s="89">
        <v>31.8</v>
      </c>
      <c r="B160" s="89">
        <v>62.2</v>
      </c>
      <c r="C160" s="89">
        <v>9.1999999999999993</v>
      </c>
      <c r="D160" s="89">
        <v>1</v>
      </c>
      <c r="E160" s="16">
        <v>4401</v>
      </c>
      <c r="F160" s="90"/>
      <c r="G160" s="90"/>
      <c r="H160" s="90"/>
      <c r="I160" s="90"/>
    </row>
    <row r="161" spans="1:9" x14ac:dyDescent="0.45">
      <c r="A161" s="89">
        <v>33.1</v>
      </c>
      <c r="B161" s="89">
        <v>56.8</v>
      </c>
      <c r="C161" s="89">
        <v>10</v>
      </c>
      <c r="D161" s="89">
        <v>2</v>
      </c>
      <c r="E161" s="16">
        <v>3915</v>
      </c>
      <c r="F161" s="90"/>
      <c r="G161" s="90"/>
      <c r="H161" s="90"/>
      <c r="I161" s="90"/>
    </row>
    <row r="162" spans="1:9" x14ac:dyDescent="0.45">
      <c r="A162" s="89">
        <v>31</v>
      </c>
      <c r="B162" s="89">
        <v>60.5</v>
      </c>
      <c r="C162" s="89">
        <v>9.4</v>
      </c>
      <c r="D162" s="89">
        <v>1</v>
      </c>
      <c r="E162" s="16">
        <v>4586</v>
      </c>
      <c r="F162" s="90"/>
      <c r="G162" s="90"/>
      <c r="H162" s="90"/>
      <c r="I162" s="90"/>
    </row>
    <row r="163" spans="1:9" x14ac:dyDescent="0.45">
      <c r="A163" s="89">
        <v>29.7</v>
      </c>
      <c r="B163" s="89">
        <v>65.5</v>
      </c>
      <c r="C163" s="89">
        <v>10.4</v>
      </c>
      <c r="D163" s="89">
        <v>1</v>
      </c>
      <c r="E163" s="16">
        <v>4966</v>
      </c>
      <c r="F163" s="90"/>
      <c r="G163" s="90"/>
      <c r="H163" s="90"/>
      <c r="I163" s="90"/>
    </row>
    <row r="164" spans="1:9" x14ac:dyDescent="0.45">
      <c r="A164" s="89">
        <v>28.4</v>
      </c>
      <c r="B164" s="89">
        <v>74.8</v>
      </c>
      <c r="C164" s="89">
        <v>11</v>
      </c>
      <c r="D164" s="89">
        <v>1</v>
      </c>
      <c r="E164" s="16">
        <v>4460</v>
      </c>
      <c r="F164" s="90"/>
      <c r="G164" s="90"/>
      <c r="H164" s="90"/>
      <c r="I164" s="90"/>
    </row>
    <row r="165" spans="1:9" x14ac:dyDescent="0.45">
      <c r="A165" s="89">
        <v>26</v>
      </c>
      <c r="B165" s="89">
        <v>49.5</v>
      </c>
      <c r="C165" s="89">
        <v>20.5</v>
      </c>
      <c r="D165" s="89">
        <v>1</v>
      </c>
      <c r="E165" s="16">
        <v>5020</v>
      </c>
      <c r="F165" s="90"/>
      <c r="G165" s="90"/>
      <c r="H165" s="90"/>
      <c r="I165" s="90"/>
    </row>
    <row r="166" spans="1:9" x14ac:dyDescent="0.45">
      <c r="A166" s="89">
        <v>24.8</v>
      </c>
      <c r="B166" s="89">
        <v>50.7</v>
      </c>
      <c r="C166" s="89">
        <v>18</v>
      </c>
      <c r="D166" s="89">
        <v>1</v>
      </c>
      <c r="E166" s="16">
        <v>4891</v>
      </c>
      <c r="F166" s="90"/>
      <c r="G166" s="90"/>
      <c r="H166" s="90"/>
      <c r="I166" s="90"/>
    </row>
    <row r="167" spans="1:9" x14ac:dyDescent="0.45">
      <c r="A167" s="89">
        <v>25.7</v>
      </c>
      <c r="B167" s="89">
        <v>47.2</v>
      </c>
      <c r="C167" s="89">
        <v>11.3</v>
      </c>
      <c r="D167" s="89">
        <v>1</v>
      </c>
      <c r="E167" s="16">
        <v>5180</v>
      </c>
      <c r="F167" s="90"/>
      <c r="G167" s="90"/>
      <c r="H167" s="90"/>
      <c r="I167" s="90"/>
    </row>
    <row r="168" spans="1:9" x14ac:dyDescent="0.45">
      <c r="A168" s="89">
        <v>25.8</v>
      </c>
      <c r="B168" s="89">
        <v>68.8</v>
      </c>
      <c r="C168" s="89">
        <v>13.8</v>
      </c>
      <c r="D168" s="89">
        <v>2</v>
      </c>
      <c r="E168" s="16">
        <v>3767</v>
      </c>
      <c r="F168" s="90"/>
      <c r="G168" s="90"/>
      <c r="H168" s="90"/>
      <c r="I168" s="90"/>
    </row>
    <row r="169" spans="1:9" x14ac:dyDescent="0.45">
      <c r="A169" s="89">
        <v>26.6</v>
      </c>
      <c r="B169" s="89">
        <v>73.599999999999994</v>
      </c>
      <c r="C169" s="89">
        <v>9.6</v>
      </c>
      <c r="D169" s="89">
        <v>1</v>
      </c>
      <c r="E169" s="16">
        <v>4844</v>
      </c>
      <c r="F169" s="90"/>
      <c r="G169" s="90"/>
      <c r="H169" s="90"/>
      <c r="I169" s="90"/>
    </row>
    <row r="170" spans="1:9" x14ac:dyDescent="0.45">
      <c r="A170" s="89">
        <v>28.6</v>
      </c>
      <c r="B170" s="89">
        <v>67</v>
      </c>
      <c r="C170" s="89">
        <v>8</v>
      </c>
      <c r="D170" s="89">
        <v>1</v>
      </c>
      <c r="E170" s="16">
        <v>5119</v>
      </c>
      <c r="F170" s="90"/>
      <c r="G170" s="90"/>
      <c r="H170" s="90"/>
      <c r="I170" s="90"/>
    </row>
    <row r="171" spans="1:9" x14ac:dyDescent="0.45">
      <c r="A171" s="89">
        <v>28.7</v>
      </c>
      <c r="B171" s="89">
        <v>66.7</v>
      </c>
      <c r="C171" s="89">
        <v>6.8</v>
      </c>
      <c r="D171" s="89">
        <v>2</v>
      </c>
      <c r="E171" s="16">
        <v>4744</v>
      </c>
      <c r="F171" s="90"/>
      <c r="G171" s="90"/>
      <c r="H171" s="90"/>
      <c r="I171" s="90"/>
    </row>
    <row r="172" spans="1:9" x14ac:dyDescent="0.45">
      <c r="A172" s="89">
        <v>26</v>
      </c>
      <c r="B172" s="89">
        <v>74.599999999999994</v>
      </c>
      <c r="C172" s="89">
        <v>10.4</v>
      </c>
      <c r="D172" s="89">
        <v>2</v>
      </c>
      <c r="E172" s="16">
        <v>4010</v>
      </c>
      <c r="F172" s="90"/>
      <c r="G172" s="90"/>
      <c r="H172" s="90"/>
      <c r="I172" s="90"/>
    </row>
    <row r="173" spans="1:9" x14ac:dyDescent="0.45">
      <c r="A173" s="89">
        <v>27.9</v>
      </c>
      <c r="B173" s="89">
        <v>77</v>
      </c>
      <c r="C173" s="89">
        <v>11.5</v>
      </c>
      <c r="D173" s="89">
        <v>2</v>
      </c>
      <c r="E173" s="16">
        <v>4835</v>
      </c>
      <c r="F173" s="90"/>
      <c r="G173" s="90"/>
      <c r="H173" s="90"/>
      <c r="I173" s="90"/>
    </row>
    <row r="174" spans="1:9" x14ac:dyDescent="0.45">
      <c r="A174" s="89">
        <v>30.1</v>
      </c>
      <c r="B174" s="89">
        <v>70.8</v>
      </c>
      <c r="C174" s="89">
        <v>11.5</v>
      </c>
      <c r="D174" s="89">
        <v>1</v>
      </c>
      <c r="E174" s="16">
        <v>4507</v>
      </c>
      <c r="F174" s="90"/>
      <c r="G174" s="90"/>
      <c r="H174" s="90"/>
      <c r="I174" s="90"/>
    </row>
    <row r="175" spans="1:9" x14ac:dyDescent="0.45">
      <c r="A175" s="89">
        <v>29.9</v>
      </c>
      <c r="B175" s="89">
        <v>70.3</v>
      </c>
      <c r="C175" s="89">
        <v>16</v>
      </c>
      <c r="D175" s="89">
        <v>2</v>
      </c>
      <c r="E175" s="16">
        <v>4790</v>
      </c>
      <c r="F175" s="90"/>
      <c r="G175" s="90"/>
      <c r="H175" s="90"/>
      <c r="I175" s="90"/>
    </row>
    <row r="176" spans="1:9" x14ac:dyDescent="0.45">
      <c r="A176" s="89">
        <v>29.7</v>
      </c>
      <c r="B176" s="89">
        <v>57.3</v>
      </c>
      <c r="C176" s="89">
        <v>14.9</v>
      </c>
      <c r="D176" s="89">
        <v>1</v>
      </c>
      <c r="E176" s="16">
        <v>4991</v>
      </c>
      <c r="F176" s="90"/>
      <c r="G176" s="90"/>
      <c r="H176" s="90"/>
      <c r="I176" s="90"/>
    </row>
    <row r="177" spans="1:9" x14ac:dyDescent="0.45">
      <c r="A177" s="89">
        <v>28.5</v>
      </c>
      <c r="B177" s="89">
        <v>48.3</v>
      </c>
      <c r="C177" s="89">
        <v>14</v>
      </c>
      <c r="D177" s="89">
        <v>1</v>
      </c>
      <c r="E177" s="16">
        <v>5202</v>
      </c>
      <c r="F177" s="90"/>
      <c r="G177" s="90"/>
      <c r="H177" s="90"/>
      <c r="I177" s="90"/>
    </row>
    <row r="178" spans="1:9" x14ac:dyDescent="0.45">
      <c r="A178" s="89">
        <v>27.9</v>
      </c>
      <c r="B178" s="89">
        <v>51.3</v>
      </c>
      <c r="C178" s="89">
        <v>6.3</v>
      </c>
      <c r="D178" s="89">
        <v>1</v>
      </c>
      <c r="E178" s="16">
        <v>5305</v>
      </c>
      <c r="F178" s="90"/>
      <c r="G178" s="90"/>
      <c r="H178" s="90"/>
      <c r="I178" s="90"/>
    </row>
    <row r="179" spans="1:9" x14ac:dyDescent="0.45">
      <c r="A179" s="89">
        <v>28</v>
      </c>
      <c r="B179" s="89">
        <v>65.8</v>
      </c>
      <c r="C179" s="89">
        <v>7.2</v>
      </c>
      <c r="D179" s="89">
        <v>2</v>
      </c>
      <c r="E179" s="16">
        <v>4708</v>
      </c>
      <c r="F179" s="90"/>
      <c r="G179" s="90"/>
      <c r="H179" s="90"/>
      <c r="I179" s="90"/>
    </row>
    <row r="180" spans="1:9" x14ac:dyDescent="0.45">
      <c r="A180" s="89">
        <v>30.5</v>
      </c>
      <c r="B180" s="89">
        <v>63.4</v>
      </c>
      <c r="C180" s="89">
        <v>9.6999999999999993</v>
      </c>
      <c r="D180" s="89">
        <v>1</v>
      </c>
      <c r="E180" s="16">
        <v>4648</v>
      </c>
      <c r="F180" s="90"/>
      <c r="G180" s="90"/>
      <c r="H180" s="90"/>
      <c r="I180" s="90"/>
    </row>
    <row r="181" spans="1:9" x14ac:dyDescent="0.45">
      <c r="A181" s="89">
        <v>29.9</v>
      </c>
      <c r="B181" s="89">
        <v>49.8</v>
      </c>
      <c r="C181" s="89">
        <v>17.5</v>
      </c>
      <c r="D181" s="89">
        <v>1</v>
      </c>
      <c r="E181" s="16">
        <v>5225</v>
      </c>
      <c r="F181" s="90"/>
      <c r="G181" s="90"/>
      <c r="H181" s="90"/>
      <c r="I181" s="90"/>
    </row>
    <row r="182" spans="1:9" x14ac:dyDescent="0.45">
      <c r="A182" s="89">
        <v>28.6</v>
      </c>
      <c r="B182" s="89">
        <v>43.4</v>
      </c>
      <c r="C182" s="89">
        <v>12.4</v>
      </c>
      <c r="D182" s="89">
        <v>1</v>
      </c>
      <c r="E182" s="16">
        <v>5515</v>
      </c>
      <c r="F182" s="90"/>
      <c r="G182" s="90"/>
      <c r="H182" s="90"/>
      <c r="I182" s="90"/>
    </row>
    <row r="183" spans="1:9" x14ac:dyDescent="0.45">
      <c r="A183" s="89">
        <v>29.6</v>
      </c>
      <c r="B183" s="89">
        <v>39.6</v>
      </c>
      <c r="C183" s="89">
        <v>6.9</v>
      </c>
      <c r="D183" s="89">
        <v>1</v>
      </c>
      <c r="E183" s="16">
        <v>5362</v>
      </c>
      <c r="F183" s="90"/>
      <c r="G183" s="90"/>
      <c r="H183" s="90"/>
      <c r="I183" s="90"/>
    </row>
    <row r="184" spans="1:9" x14ac:dyDescent="0.45">
      <c r="A184" s="89">
        <v>30.3</v>
      </c>
      <c r="B184" s="89">
        <v>44.5</v>
      </c>
      <c r="C184" s="89">
        <v>7.7</v>
      </c>
      <c r="D184" s="89">
        <v>1</v>
      </c>
      <c r="E184" s="16">
        <v>5119</v>
      </c>
      <c r="F184" s="90"/>
      <c r="G184" s="90"/>
      <c r="H184" s="90"/>
      <c r="I184" s="90"/>
    </row>
    <row r="185" spans="1:9" x14ac:dyDescent="0.45">
      <c r="A185" s="89">
        <v>29.4</v>
      </c>
      <c r="B185" s="89">
        <v>68.2</v>
      </c>
      <c r="C185" s="89">
        <v>15.3</v>
      </c>
      <c r="D185" s="89">
        <v>2</v>
      </c>
      <c r="E185" s="16">
        <v>4649</v>
      </c>
      <c r="F185" s="90"/>
      <c r="G185" s="90"/>
      <c r="H185" s="90"/>
      <c r="I185" s="90"/>
    </row>
    <row r="186" spans="1:9" x14ac:dyDescent="0.45">
      <c r="A186" s="89">
        <v>29.8</v>
      </c>
      <c r="B186" s="89">
        <v>63.8</v>
      </c>
      <c r="C186" s="89">
        <v>5.5</v>
      </c>
      <c r="D186" s="89">
        <v>2</v>
      </c>
      <c r="E186" s="16">
        <v>6043</v>
      </c>
      <c r="F186" s="90"/>
      <c r="G186" s="90"/>
      <c r="H186" s="90"/>
      <c r="I186" s="90"/>
    </row>
    <row r="187" spans="1:9" x14ac:dyDescent="0.45">
      <c r="A187" s="89">
        <v>30.6</v>
      </c>
      <c r="B187" s="89">
        <v>59</v>
      </c>
      <c r="C187" s="89">
        <v>8.5</v>
      </c>
      <c r="D187" s="89">
        <v>1</v>
      </c>
      <c r="E187" s="16">
        <v>4665</v>
      </c>
      <c r="F187" s="90"/>
      <c r="G187" s="90"/>
      <c r="H187" s="90"/>
      <c r="I187" s="90"/>
    </row>
    <row r="188" spans="1:9" x14ac:dyDescent="0.45">
      <c r="A188" s="89">
        <v>29.5</v>
      </c>
      <c r="B188" s="89">
        <v>74.3</v>
      </c>
      <c r="C188" s="89">
        <v>10</v>
      </c>
      <c r="D188" s="89">
        <v>1</v>
      </c>
      <c r="E188" s="16">
        <v>4629</v>
      </c>
      <c r="F188" s="90"/>
      <c r="G188" s="90"/>
      <c r="H188" s="90"/>
      <c r="I188" s="90"/>
    </row>
    <row r="189" spans="1:9" x14ac:dyDescent="0.45">
      <c r="A189" s="89">
        <v>30.8</v>
      </c>
      <c r="B189" s="89">
        <v>65.099999999999994</v>
      </c>
      <c r="C189" s="89">
        <v>10.7</v>
      </c>
      <c r="D189" s="89">
        <v>1</v>
      </c>
      <c r="E189" s="16">
        <v>4592</v>
      </c>
      <c r="F189" s="90"/>
      <c r="G189" s="90"/>
      <c r="H189" s="90"/>
      <c r="I189" s="90"/>
    </row>
    <row r="190" spans="1:9" x14ac:dyDescent="0.45">
      <c r="A190" s="89">
        <v>29.1</v>
      </c>
      <c r="B190" s="89">
        <v>75.8</v>
      </c>
      <c r="C190" s="89">
        <v>15.1</v>
      </c>
      <c r="D190" s="89">
        <v>2</v>
      </c>
      <c r="E190" s="16">
        <v>4040</v>
      </c>
      <c r="F190" s="90"/>
      <c r="G190" s="90"/>
      <c r="H190" s="90"/>
      <c r="I190" s="90"/>
    </row>
    <row r="191" spans="1:9" x14ac:dyDescent="0.45">
      <c r="A191" s="89">
        <v>30.1</v>
      </c>
      <c r="B191" s="89">
        <v>60.9</v>
      </c>
      <c r="C191" s="89">
        <v>11.3</v>
      </c>
      <c r="D191" s="89">
        <v>1</v>
      </c>
      <c r="E191" s="16">
        <v>5336</v>
      </c>
      <c r="F191" s="90"/>
      <c r="G191" s="90"/>
      <c r="H191" s="90"/>
      <c r="I191" s="90"/>
    </row>
    <row r="192" spans="1:9" x14ac:dyDescent="0.45">
      <c r="A192" s="89">
        <v>30.6</v>
      </c>
      <c r="B192" s="89">
        <v>57.8</v>
      </c>
      <c r="C192" s="89">
        <v>12.3</v>
      </c>
      <c r="D192" s="89">
        <v>1</v>
      </c>
      <c r="E192" s="16">
        <v>4881</v>
      </c>
      <c r="F192" s="90"/>
      <c r="G192" s="90"/>
      <c r="H192" s="90"/>
      <c r="I192" s="90"/>
    </row>
    <row r="193" spans="1:9" x14ac:dyDescent="0.45">
      <c r="A193" s="89">
        <v>31.3</v>
      </c>
      <c r="B193" s="89">
        <v>63.6</v>
      </c>
      <c r="C193" s="89">
        <v>18.899999999999999</v>
      </c>
      <c r="D193" s="89">
        <v>1</v>
      </c>
      <c r="E193" s="16">
        <v>4086</v>
      </c>
      <c r="F193" s="90"/>
      <c r="G193" s="90"/>
      <c r="H193" s="90"/>
      <c r="I193" s="90"/>
    </row>
    <row r="194" spans="1:9" x14ac:dyDescent="0.45">
      <c r="A194" s="89">
        <v>32.6</v>
      </c>
      <c r="B194" s="89">
        <v>55.9</v>
      </c>
      <c r="C194" s="89">
        <v>13.4</v>
      </c>
      <c r="D194" s="89">
        <v>1</v>
      </c>
      <c r="E194" s="16">
        <v>4258</v>
      </c>
      <c r="F194" s="90"/>
      <c r="G194" s="90"/>
      <c r="H194" s="90"/>
      <c r="I194" s="90"/>
    </row>
    <row r="195" spans="1:9" x14ac:dyDescent="0.45">
      <c r="A195" s="89">
        <v>30.6</v>
      </c>
      <c r="B195" s="89">
        <v>63.2</v>
      </c>
      <c r="C195" s="89">
        <v>9.8000000000000007</v>
      </c>
      <c r="D195" s="89">
        <v>1</v>
      </c>
      <c r="E195" s="16">
        <v>4342</v>
      </c>
      <c r="F195" s="90"/>
      <c r="G195" s="90"/>
      <c r="H195" s="90"/>
      <c r="I195" s="90"/>
    </row>
    <row r="196" spans="1:9" x14ac:dyDescent="0.45">
      <c r="A196" s="89">
        <v>27.9</v>
      </c>
      <c r="B196" s="89">
        <v>47.6</v>
      </c>
      <c r="C196" s="89">
        <v>16.100000000000001</v>
      </c>
      <c r="D196" s="89">
        <v>1</v>
      </c>
      <c r="E196" s="16">
        <v>5084</v>
      </c>
      <c r="F196" s="90"/>
      <c r="G196" s="90"/>
      <c r="H196" s="90"/>
      <c r="I196" s="90"/>
    </row>
    <row r="197" spans="1:9" x14ac:dyDescent="0.45">
      <c r="A197" s="89">
        <v>27.2</v>
      </c>
      <c r="B197" s="89">
        <v>59.1</v>
      </c>
      <c r="C197" s="89">
        <v>12.2</v>
      </c>
      <c r="D197" s="89">
        <v>1</v>
      </c>
      <c r="E197" s="16">
        <v>5538</v>
      </c>
      <c r="F197" s="90"/>
      <c r="G197" s="90"/>
      <c r="H197" s="90"/>
      <c r="I197" s="90"/>
    </row>
    <row r="198" spans="1:9" x14ac:dyDescent="0.45">
      <c r="A198" s="89">
        <v>28.2</v>
      </c>
      <c r="B198" s="89">
        <v>58.5</v>
      </c>
      <c r="C198" s="89">
        <v>14</v>
      </c>
      <c r="D198" s="89">
        <v>1</v>
      </c>
      <c r="E198" s="16">
        <v>5923</v>
      </c>
      <c r="F198" s="90"/>
      <c r="G198" s="90"/>
      <c r="H198" s="90"/>
      <c r="I198" s="90"/>
    </row>
    <row r="199" spans="1:9" x14ac:dyDescent="0.45">
      <c r="A199" s="89">
        <v>29.5</v>
      </c>
      <c r="B199" s="89">
        <v>60.4</v>
      </c>
      <c r="C199" s="89">
        <v>16.399999999999999</v>
      </c>
      <c r="D199" s="89">
        <v>1</v>
      </c>
      <c r="E199" s="16">
        <v>5302</v>
      </c>
      <c r="F199" s="90"/>
      <c r="G199" s="90"/>
      <c r="H199" s="90"/>
      <c r="I199" s="90"/>
    </row>
    <row r="200" spans="1:9" x14ac:dyDescent="0.45">
      <c r="A200" s="89">
        <v>30.6</v>
      </c>
      <c r="B200" s="89">
        <v>65.099999999999994</v>
      </c>
      <c r="C200" s="89">
        <v>14.5</v>
      </c>
      <c r="D200" s="89">
        <v>1</v>
      </c>
      <c r="E200" s="16">
        <v>4458</v>
      </c>
      <c r="F200" s="90"/>
      <c r="G200" s="90"/>
      <c r="H200" s="90"/>
      <c r="I200" s="90"/>
    </row>
    <row r="201" spans="1:9" x14ac:dyDescent="0.45">
      <c r="A201" s="89">
        <v>31.8</v>
      </c>
      <c r="B201" s="89">
        <v>65</v>
      </c>
      <c r="C201" s="89">
        <v>8.8000000000000007</v>
      </c>
      <c r="D201" s="89">
        <v>1</v>
      </c>
      <c r="E201" s="16">
        <v>4541</v>
      </c>
      <c r="F201" s="90"/>
      <c r="G201" s="90"/>
      <c r="H201" s="90"/>
      <c r="I201" s="90"/>
    </row>
    <row r="202" spans="1:9" x14ac:dyDescent="0.45">
      <c r="A202" s="89">
        <v>31.5</v>
      </c>
      <c r="B202" s="89">
        <v>70.7</v>
      </c>
      <c r="C202" s="89">
        <v>7.6</v>
      </c>
      <c r="D202" s="89">
        <v>1</v>
      </c>
      <c r="E202" s="16">
        <v>4332</v>
      </c>
      <c r="F202" s="90"/>
      <c r="G202" s="90"/>
      <c r="H202" s="90"/>
      <c r="I202" s="90"/>
    </row>
    <row r="203" spans="1:9" x14ac:dyDescent="0.45">
      <c r="A203" s="89">
        <v>33.4</v>
      </c>
      <c r="B203" s="89">
        <v>69.099999999999994</v>
      </c>
      <c r="C203" s="89">
        <v>14.9</v>
      </c>
      <c r="D203" s="89">
        <v>2</v>
      </c>
      <c r="E203" s="16">
        <v>3784</v>
      </c>
      <c r="F203" s="90"/>
      <c r="G203" s="90"/>
      <c r="H203" s="90"/>
      <c r="I203" s="90"/>
    </row>
    <row r="204" spans="1:9" x14ac:dyDescent="0.45">
      <c r="A204" s="89">
        <v>34.799999999999997</v>
      </c>
      <c r="B204" s="89">
        <v>58</v>
      </c>
      <c r="C204" s="89">
        <v>8.9</v>
      </c>
      <c r="D204" s="89">
        <v>1</v>
      </c>
      <c r="E204" s="16">
        <v>3387</v>
      </c>
      <c r="F204" s="90"/>
      <c r="G204" s="90"/>
      <c r="H204" s="90"/>
      <c r="I204" s="90"/>
    </row>
    <row r="205" spans="1:9" x14ac:dyDescent="0.45">
      <c r="A205" s="89">
        <v>34.799999999999997</v>
      </c>
      <c r="B205" s="89">
        <v>50</v>
      </c>
      <c r="C205" s="89">
        <v>8.8000000000000007</v>
      </c>
      <c r="D205" s="89">
        <v>1</v>
      </c>
      <c r="E205" s="16">
        <v>3285</v>
      </c>
      <c r="F205" s="90"/>
      <c r="G205" s="90"/>
      <c r="H205" s="90"/>
      <c r="I205" s="90"/>
    </row>
    <row r="206" spans="1:9" x14ac:dyDescent="0.45">
      <c r="A206" s="89">
        <v>34</v>
      </c>
      <c r="B206" s="89">
        <v>55.1</v>
      </c>
      <c r="C206" s="89">
        <v>11.3</v>
      </c>
      <c r="D206" s="89">
        <v>1</v>
      </c>
      <c r="E206" s="16">
        <v>3606</v>
      </c>
      <c r="F206" s="90"/>
      <c r="G206" s="90"/>
      <c r="H206" s="90"/>
      <c r="I206" s="90"/>
    </row>
    <row r="207" spans="1:9" x14ac:dyDescent="0.45">
      <c r="A207" s="89">
        <v>30.5</v>
      </c>
      <c r="B207" s="89">
        <v>75.7</v>
      </c>
      <c r="C207" s="89">
        <v>6.1</v>
      </c>
      <c r="D207" s="89">
        <v>1</v>
      </c>
      <c r="E207" s="16">
        <v>3840</v>
      </c>
      <c r="F207" s="90"/>
      <c r="G207" s="90"/>
      <c r="H207" s="90"/>
      <c r="I207" s="90"/>
    </row>
    <row r="208" spans="1:9" x14ac:dyDescent="0.45">
      <c r="A208" s="89">
        <v>31.6</v>
      </c>
      <c r="B208" s="89">
        <v>54.1</v>
      </c>
      <c r="C208" s="89">
        <v>13.4</v>
      </c>
      <c r="D208" s="89">
        <v>1</v>
      </c>
      <c r="E208" s="16">
        <v>4590</v>
      </c>
      <c r="F208" s="90"/>
      <c r="G208" s="90"/>
      <c r="H208" s="90"/>
      <c r="I208" s="90"/>
    </row>
    <row r="209" spans="1:9" x14ac:dyDescent="0.45">
      <c r="A209" s="89">
        <v>31.8</v>
      </c>
      <c r="B209" s="89">
        <v>40.299999999999997</v>
      </c>
      <c r="C209" s="89">
        <v>12.3</v>
      </c>
      <c r="D209" s="89">
        <v>1</v>
      </c>
      <c r="E209" s="16">
        <v>4656</v>
      </c>
      <c r="F209" s="90"/>
      <c r="G209" s="90"/>
      <c r="H209" s="90"/>
      <c r="I209" s="90"/>
    </row>
    <row r="210" spans="1:9" x14ac:dyDescent="0.45">
      <c r="A210" s="89">
        <v>31.9</v>
      </c>
      <c r="B210" s="89">
        <v>58.3</v>
      </c>
      <c r="C210" s="89">
        <v>12</v>
      </c>
      <c r="D210" s="89">
        <v>1</v>
      </c>
      <c r="E210" s="16">
        <v>4390</v>
      </c>
      <c r="F210" s="90"/>
      <c r="G210" s="90"/>
      <c r="H210" s="90"/>
      <c r="I210" s="90"/>
    </row>
    <row r="211" spans="1:9" x14ac:dyDescent="0.45">
      <c r="A211" s="89">
        <v>34.4</v>
      </c>
      <c r="B211" s="89">
        <v>54.2</v>
      </c>
      <c r="C211" s="89">
        <v>11.7</v>
      </c>
      <c r="D211" s="89">
        <v>1</v>
      </c>
      <c r="E211" s="16">
        <v>3846</v>
      </c>
      <c r="F211" s="90"/>
      <c r="G211" s="90"/>
      <c r="H211" s="90"/>
      <c r="I211" s="90"/>
    </row>
    <row r="212" spans="1:9" x14ac:dyDescent="0.45">
      <c r="A212" s="89">
        <v>33</v>
      </c>
      <c r="B212" s="89">
        <v>46.6</v>
      </c>
      <c r="C212" s="89">
        <v>11.3</v>
      </c>
      <c r="D212" s="89">
        <v>1</v>
      </c>
      <c r="E212" s="16">
        <v>4475</v>
      </c>
      <c r="F212" s="90"/>
      <c r="G212" s="90"/>
      <c r="H212" s="90"/>
      <c r="I212" s="90"/>
    </row>
    <row r="213" spans="1:9" x14ac:dyDescent="0.45">
      <c r="A213" s="89">
        <v>33</v>
      </c>
      <c r="B213" s="89">
        <v>48.1</v>
      </c>
      <c r="C213" s="89">
        <v>11</v>
      </c>
      <c r="D213" s="89">
        <v>1</v>
      </c>
      <c r="E213" s="16">
        <v>4302</v>
      </c>
      <c r="F213" s="90"/>
      <c r="G213" s="90"/>
      <c r="H213" s="90"/>
      <c r="I213" s="90"/>
    </row>
    <row r="214" spans="1:9" x14ac:dyDescent="0.45">
      <c r="A214" s="89">
        <v>31.6</v>
      </c>
      <c r="B214" s="89">
        <v>55.1</v>
      </c>
      <c r="C214" s="89">
        <v>10.5</v>
      </c>
      <c r="D214" s="89">
        <v>1</v>
      </c>
      <c r="E214" s="16">
        <v>4266</v>
      </c>
      <c r="F214" s="90"/>
      <c r="G214" s="90"/>
      <c r="H214" s="90"/>
      <c r="I214" s="90"/>
    </row>
    <row r="215" spans="1:9" x14ac:dyDescent="0.45">
      <c r="A215" s="89">
        <v>32.1</v>
      </c>
      <c r="B215" s="89">
        <v>49.1</v>
      </c>
      <c r="C215" s="89">
        <v>13.8</v>
      </c>
      <c r="D215" s="89">
        <v>1</v>
      </c>
      <c r="E215" s="16">
        <v>4845</v>
      </c>
      <c r="F215" s="90"/>
      <c r="G215" s="90"/>
      <c r="H215" s="90"/>
      <c r="I215" s="90"/>
    </row>
    <row r="216" spans="1:9" x14ac:dyDescent="0.45">
      <c r="A216" s="89">
        <v>30</v>
      </c>
      <c r="B216" s="89">
        <v>65.8</v>
      </c>
      <c r="C216" s="89">
        <v>9.1</v>
      </c>
      <c r="D216" s="89">
        <v>2</v>
      </c>
      <c r="E216" s="16">
        <v>3574</v>
      </c>
      <c r="F216" s="90"/>
      <c r="G216" s="90"/>
      <c r="H216" s="90"/>
      <c r="I216" s="90"/>
    </row>
    <row r="217" spans="1:9" x14ac:dyDescent="0.45">
      <c r="A217" s="89">
        <v>29.1</v>
      </c>
      <c r="B217" s="89">
        <v>75.8</v>
      </c>
      <c r="C217" s="89">
        <v>13.2</v>
      </c>
      <c r="D217" s="89">
        <v>2</v>
      </c>
      <c r="E217" s="16">
        <v>4576</v>
      </c>
      <c r="F217" s="90"/>
      <c r="G217" s="90"/>
      <c r="H217" s="90"/>
      <c r="I217" s="90"/>
    </row>
    <row r="218" spans="1:9" x14ac:dyDescent="0.45">
      <c r="A218" s="89">
        <v>29.1</v>
      </c>
      <c r="B218" s="89">
        <v>63.1</v>
      </c>
      <c r="C218" s="89">
        <v>12.4</v>
      </c>
      <c r="D218" s="89">
        <v>1</v>
      </c>
      <c r="E218" s="16">
        <v>4866</v>
      </c>
      <c r="F218" s="90"/>
      <c r="G218" s="90"/>
      <c r="H218" s="90"/>
      <c r="I218" s="90"/>
    </row>
    <row r="219" spans="1:9" x14ac:dyDescent="0.45">
      <c r="A219" s="89">
        <v>29.4</v>
      </c>
      <c r="B219" s="89">
        <v>75.5</v>
      </c>
      <c r="C219" s="89">
        <v>15.3</v>
      </c>
      <c r="D219" s="89">
        <v>2</v>
      </c>
      <c r="E219" s="16">
        <v>4294</v>
      </c>
      <c r="F219" s="90"/>
      <c r="G219" s="90"/>
      <c r="H219" s="90"/>
      <c r="I219" s="90"/>
    </row>
    <row r="220" spans="1:9" x14ac:dyDescent="0.45">
      <c r="A220" s="89">
        <v>30.4</v>
      </c>
      <c r="B220" s="89">
        <v>75.3</v>
      </c>
      <c r="C220" s="89">
        <v>13.5</v>
      </c>
      <c r="D220" s="89">
        <v>1</v>
      </c>
      <c r="E220" s="16">
        <v>3785</v>
      </c>
      <c r="F220" s="90"/>
      <c r="G220" s="90"/>
      <c r="H220" s="90"/>
      <c r="I220" s="90"/>
    </row>
    <row r="221" spans="1:9" x14ac:dyDescent="0.45">
      <c r="A221" s="89">
        <v>31.4</v>
      </c>
      <c r="B221" s="89">
        <v>59.2</v>
      </c>
      <c r="C221" s="89">
        <v>12.9</v>
      </c>
      <c r="D221" s="89">
        <v>1</v>
      </c>
      <c r="E221" s="16">
        <v>4326</v>
      </c>
      <c r="F221" s="90"/>
      <c r="G221" s="90"/>
      <c r="H221" s="90"/>
      <c r="I221" s="90"/>
    </row>
    <row r="222" spans="1:9" x14ac:dyDescent="0.45">
      <c r="A222" s="89">
        <v>31.8</v>
      </c>
      <c r="B222" s="89">
        <v>57</v>
      </c>
      <c r="C222" s="89">
        <v>10.1</v>
      </c>
      <c r="D222" s="89">
        <v>1</v>
      </c>
      <c r="E222" s="16">
        <v>4602</v>
      </c>
      <c r="F222" s="90"/>
      <c r="G222" s="90"/>
      <c r="H222" s="90"/>
      <c r="I222" s="90"/>
    </row>
    <row r="223" spans="1:9" x14ac:dyDescent="0.45">
      <c r="A223" s="89">
        <v>31.4</v>
      </c>
      <c r="B223" s="89">
        <v>42.4</v>
      </c>
      <c r="C223" s="89">
        <v>13.4</v>
      </c>
      <c r="D223" s="89">
        <v>1</v>
      </c>
      <c r="E223" s="16">
        <v>4780</v>
      </c>
      <c r="F223" s="90"/>
      <c r="G223" s="90"/>
      <c r="H223" s="90"/>
      <c r="I223" s="90"/>
    </row>
    <row r="224" spans="1:9" x14ac:dyDescent="0.45">
      <c r="A224" s="89">
        <v>29.4</v>
      </c>
      <c r="B224" s="89">
        <v>42.4</v>
      </c>
      <c r="C224" s="89">
        <v>11</v>
      </c>
      <c r="D224" s="89">
        <v>1</v>
      </c>
      <c r="E224" s="16">
        <v>4792</v>
      </c>
      <c r="F224" s="90"/>
      <c r="G224" s="90"/>
      <c r="H224" s="90"/>
      <c r="I224" s="90"/>
    </row>
    <row r="225" spans="1:9" x14ac:dyDescent="0.45">
      <c r="A225" s="89">
        <v>29</v>
      </c>
      <c r="B225" s="89">
        <v>41.5</v>
      </c>
      <c r="C225" s="89">
        <v>8.4</v>
      </c>
      <c r="D225" s="89">
        <v>1</v>
      </c>
      <c r="E225" s="16">
        <v>4905</v>
      </c>
      <c r="F225" s="90"/>
      <c r="G225" s="90"/>
      <c r="H225" s="90"/>
      <c r="I225" s="90"/>
    </row>
    <row r="226" spans="1:9" x14ac:dyDescent="0.45">
      <c r="A226" s="89">
        <v>28.1</v>
      </c>
      <c r="B226" s="89">
        <v>73</v>
      </c>
      <c r="C226" s="89">
        <v>14.2</v>
      </c>
      <c r="D226" s="89">
        <v>2</v>
      </c>
      <c r="E226" s="16">
        <v>4150</v>
      </c>
      <c r="F226" s="90"/>
      <c r="G226" s="90"/>
      <c r="H226" s="90"/>
      <c r="I226" s="90"/>
    </row>
    <row r="227" spans="1:9" x14ac:dyDescent="0.45">
      <c r="A227" s="89">
        <v>27.7</v>
      </c>
      <c r="B227" s="89">
        <v>81.8</v>
      </c>
      <c r="C227" s="89">
        <v>14.9</v>
      </c>
      <c r="D227" s="89">
        <v>2</v>
      </c>
      <c r="E227" s="16">
        <v>3820</v>
      </c>
      <c r="F227" s="90"/>
      <c r="G227" s="90"/>
      <c r="H227" s="90"/>
      <c r="I227" s="90"/>
    </row>
    <row r="228" spans="1:9" x14ac:dyDescent="0.45">
      <c r="A228" s="89">
        <v>27.3</v>
      </c>
      <c r="B228" s="89">
        <v>71.2</v>
      </c>
      <c r="C228" s="89">
        <v>14</v>
      </c>
      <c r="D228" s="89">
        <v>1</v>
      </c>
      <c r="E228" s="16">
        <v>4338</v>
      </c>
      <c r="F228" s="90"/>
      <c r="G228" s="90"/>
      <c r="H228" s="90"/>
      <c r="I228" s="90"/>
    </row>
    <row r="229" spans="1:9" x14ac:dyDescent="0.45">
      <c r="A229" s="89">
        <v>28.7</v>
      </c>
      <c r="B229" s="89">
        <v>57.8</v>
      </c>
      <c r="C229" s="89">
        <v>15.8</v>
      </c>
      <c r="D229" s="89">
        <v>1</v>
      </c>
      <c r="E229" s="16">
        <v>4725</v>
      </c>
      <c r="F229" s="90"/>
      <c r="G229" s="90"/>
      <c r="H229" s="90"/>
      <c r="I229" s="90"/>
    </row>
    <row r="230" spans="1:9" x14ac:dyDescent="0.45">
      <c r="A230" s="89">
        <v>29.7</v>
      </c>
      <c r="B230" s="89">
        <v>57.5</v>
      </c>
      <c r="C230" s="89">
        <v>9.6</v>
      </c>
      <c r="D230" s="89">
        <v>1</v>
      </c>
      <c r="E230" s="16">
        <v>4694</v>
      </c>
      <c r="F230" s="90"/>
      <c r="G230" s="90"/>
      <c r="H230" s="90"/>
      <c r="I230" s="90"/>
    </row>
    <row r="231" spans="1:9" x14ac:dyDescent="0.45">
      <c r="A231" s="89">
        <v>29.2</v>
      </c>
      <c r="B231" s="89">
        <v>65.5</v>
      </c>
      <c r="C231" s="89">
        <v>15.6</v>
      </c>
      <c r="D231" s="89">
        <v>1</v>
      </c>
      <c r="E231" s="16">
        <v>3805</v>
      </c>
      <c r="F231" s="90"/>
      <c r="G231" s="90"/>
      <c r="H231" s="90"/>
      <c r="I231" s="90"/>
    </row>
    <row r="232" spans="1:9" x14ac:dyDescent="0.45">
      <c r="A232" s="89">
        <v>28.1</v>
      </c>
      <c r="B232" s="89">
        <v>72.3</v>
      </c>
      <c r="C232" s="89">
        <v>9.3000000000000007</v>
      </c>
      <c r="D232" s="89">
        <v>2</v>
      </c>
      <c r="E232" s="16">
        <v>4153</v>
      </c>
      <c r="F232" s="90"/>
      <c r="G232" s="90"/>
      <c r="H232" s="90"/>
      <c r="I232" s="90"/>
    </row>
    <row r="233" spans="1:9" x14ac:dyDescent="0.45">
      <c r="A233" s="89">
        <v>28.6</v>
      </c>
      <c r="B233" s="89">
        <v>67.400000000000006</v>
      </c>
      <c r="C233" s="89">
        <v>7</v>
      </c>
      <c r="D233" s="89">
        <v>1</v>
      </c>
      <c r="E233" s="16">
        <v>5191</v>
      </c>
      <c r="F233" s="90"/>
      <c r="G233" s="90"/>
      <c r="H233" s="90"/>
      <c r="I233" s="90"/>
    </row>
    <row r="234" spans="1:9" x14ac:dyDescent="0.45">
      <c r="A234" s="89">
        <v>29.1</v>
      </c>
      <c r="B234" s="89">
        <v>77</v>
      </c>
      <c r="C234" s="89">
        <v>16.7</v>
      </c>
      <c r="D234" s="89">
        <v>1</v>
      </c>
      <c r="E234" s="16">
        <v>3873</v>
      </c>
      <c r="F234" s="90"/>
      <c r="G234" s="90"/>
      <c r="H234" s="90"/>
      <c r="I234" s="90"/>
    </row>
    <row r="235" spans="1:9" x14ac:dyDescent="0.45">
      <c r="A235" s="89">
        <v>28.4</v>
      </c>
      <c r="B235" s="89">
        <v>47</v>
      </c>
      <c r="C235" s="89">
        <v>18.5</v>
      </c>
      <c r="D235" s="89">
        <v>1</v>
      </c>
      <c r="E235" s="16">
        <v>4758</v>
      </c>
      <c r="F235" s="90"/>
      <c r="G235" s="90"/>
      <c r="H235" s="90"/>
      <c r="I235" s="90"/>
    </row>
    <row r="236" spans="1:9" x14ac:dyDescent="0.45">
      <c r="A236" s="89">
        <v>26.3</v>
      </c>
      <c r="B236" s="89">
        <v>45.5</v>
      </c>
      <c r="C236" s="89">
        <v>9.8000000000000007</v>
      </c>
      <c r="D236" s="89">
        <v>1</v>
      </c>
      <c r="E236" s="16">
        <v>5895</v>
      </c>
      <c r="F236" s="90"/>
      <c r="G236" s="90"/>
      <c r="H236" s="90"/>
      <c r="I236" s="90"/>
    </row>
    <row r="237" spans="1:9" x14ac:dyDescent="0.45">
      <c r="A237" s="89">
        <v>27.6</v>
      </c>
      <c r="B237" s="89">
        <v>60.5</v>
      </c>
      <c r="C237" s="89">
        <v>17</v>
      </c>
      <c r="D237" s="89">
        <v>1</v>
      </c>
      <c r="E237" s="16">
        <v>5130</v>
      </c>
      <c r="F237" s="90"/>
      <c r="G237" s="90"/>
      <c r="H237" s="90"/>
      <c r="I237" s="90"/>
    </row>
    <row r="238" spans="1:9" x14ac:dyDescent="0.45">
      <c r="A238" s="89">
        <v>28.1</v>
      </c>
      <c r="B238" s="89">
        <v>77.2</v>
      </c>
      <c r="C238" s="89">
        <v>14.1</v>
      </c>
      <c r="D238" s="89">
        <v>2</v>
      </c>
      <c r="E238" s="16">
        <v>3542</v>
      </c>
      <c r="F238" s="90"/>
      <c r="G238" s="90"/>
      <c r="H238" s="90"/>
      <c r="I238" s="90"/>
    </row>
    <row r="239" spans="1:9" x14ac:dyDescent="0.45">
      <c r="A239" s="89">
        <v>28.7</v>
      </c>
      <c r="B239" s="89">
        <v>76.099999999999994</v>
      </c>
      <c r="C239" s="89">
        <v>5.6</v>
      </c>
      <c r="D239" s="89">
        <v>1</v>
      </c>
      <c r="E239" s="16">
        <v>4661</v>
      </c>
      <c r="F239" s="90"/>
      <c r="G239" s="90"/>
      <c r="H239" s="90"/>
      <c r="I239" s="90"/>
    </row>
    <row r="240" spans="1:9" x14ac:dyDescent="0.45">
      <c r="A240" s="89">
        <v>27.9</v>
      </c>
      <c r="B240" s="89">
        <v>85</v>
      </c>
      <c r="C240" s="89">
        <v>25.2</v>
      </c>
      <c r="D240" s="89">
        <v>2</v>
      </c>
      <c r="E240" s="16">
        <v>1115</v>
      </c>
      <c r="F240" s="90"/>
      <c r="G240" s="90"/>
      <c r="H240" s="90"/>
      <c r="I240" s="90"/>
    </row>
    <row r="241" spans="1:9" x14ac:dyDescent="0.45">
      <c r="A241" s="89">
        <v>29</v>
      </c>
      <c r="B241" s="89">
        <v>56.2</v>
      </c>
      <c r="C241" s="89">
        <v>20.399999999999999</v>
      </c>
      <c r="D241" s="89">
        <v>1</v>
      </c>
      <c r="E241" s="16">
        <v>4334</v>
      </c>
      <c r="F241" s="90"/>
      <c r="G241" s="90"/>
      <c r="H241" s="90"/>
      <c r="I241" s="90"/>
    </row>
    <row r="242" spans="1:9" x14ac:dyDescent="0.45">
      <c r="A242" s="89">
        <v>26.1</v>
      </c>
      <c r="B242" s="89">
        <v>55.5</v>
      </c>
      <c r="C242" s="89">
        <v>10.7</v>
      </c>
      <c r="D242" s="89">
        <v>1</v>
      </c>
      <c r="E242" s="16">
        <v>4634</v>
      </c>
      <c r="F242" s="90"/>
      <c r="G242" s="90"/>
      <c r="H242" s="90"/>
      <c r="I242" s="90"/>
    </row>
    <row r="243" spans="1:9" x14ac:dyDescent="0.45">
      <c r="A243" s="89">
        <v>26.2</v>
      </c>
      <c r="B243" s="89">
        <v>54.8</v>
      </c>
      <c r="C243" s="89">
        <v>8.4</v>
      </c>
      <c r="D243" s="89">
        <v>1</v>
      </c>
      <c r="E243" s="16">
        <v>5204</v>
      </c>
      <c r="F243" s="90"/>
      <c r="G243" s="90"/>
      <c r="H243" s="90"/>
      <c r="I243" s="90"/>
    </row>
    <row r="244" spans="1:9" x14ac:dyDescent="0.45">
      <c r="A244" s="89">
        <v>26.9</v>
      </c>
      <c r="B244" s="89">
        <v>59.8</v>
      </c>
      <c r="C244" s="89">
        <v>5.6</v>
      </c>
      <c r="D244" s="89">
        <v>1</v>
      </c>
      <c r="E244" s="16">
        <v>5058</v>
      </c>
      <c r="F244" s="90"/>
      <c r="G244" s="90"/>
      <c r="H244" s="90"/>
      <c r="I244" s="90"/>
    </row>
    <row r="245" spans="1:9" x14ac:dyDescent="0.45">
      <c r="A245" s="89">
        <v>26.9</v>
      </c>
      <c r="B245" s="89">
        <v>63.9</v>
      </c>
      <c r="C245" s="89">
        <v>9.5</v>
      </c>
      <c r="D245" s="89">
        <v>1</v>
      </c>
      <c r="E245" s="16">
        <v>5115</v>
      </c>
      <c r="F245" s="90"/>
      <c r="G245" s="90"/>
      <c r="H245" s="90"/>
      <c r="I245" s="90"/>
    </row>
    <row r="246" spans="1:9" x14ac:dyDescent="0.45">
      <c r="A246" s="89">
        <v>26.4</v>
      </c>
      <c r="B246" s="89">
        <v>72.7</v>
      </c>
      <c r="C246" s="89">
        <v>9.4</v>
      </c>
      <c r="D246" s="89">
        <v>2</v>
      </c>
      <c r="E246" s="16">
        <v>4727</v>
      </c>
      <c r="F246" s="90"/>
      <c r="G246" s="90"/>
      <c r="H246" s="90"/>
      <c r="I246" s="90"/>
    </row>
    <row r="247" spans="1:9" x14ac:dyDescent="0.45">
      <c r="A247" s="89">
        <v>27.4</v>
      </c>
      <c r="B247" s="89">
        <v>71.7</v>
      </c>
      <c r="C247" s="89">
        <v>12.4</v>
      </c>
      <c r="D247" s="89">
        <v>1</v>
      </c>
      <c r="E247" s="16">
        <v>4484</v>
      </c>
      <c r="F247" s="90"/>
      <c r="G247" s="90"/>
      <c r="H247" s="90"/>
      <c r="I247" s="90"/>
    </row>
    <row r="248" spans="1:9" x14ac:dyDescent="0.45">
      <c r="A248" s="89">
        <v>29.1</v>
      </c>
      <c r="B248" s="89">
        <v>74.2</v>
      </c>
      <c r="C248" s="89">
        <v>13.8</v>
      </c>
      <c r="D248" s="89">
        <v>1</v>
      </c>
      <c r="E248" s="16">
        <v>4940</v>
      </c>
      <c r="F248" s="90"/>
      <c r="G248" s="90"/>
      <c r="H248" s="90"/>
      <c r="I248" s="90"/>
    </row>
    <row r="249" spans="1:9" x14ac:dyDescent="0.45">
      <c r="A249" s="89">
        <v>27.6</v>
      </c>
      <c r="B249" s="89">
        <v>79</v>
      </c>
      <c r="C249" s="89">
        <v>14.3</v>
      </c>
      <c r="D249" s="89">
        <v>2</v>
      </c>
      <c r="E249" s="16">
        <v>3351</v>
      </c>
      <c r="F249" s="90"/>
      <c r="G249" s="90"/>
      <c r="H249" s="90"/>
      <c r="I249" s="90"/>
    </row>
    <row r="250" spans="1:9" x14ac:dyDescent="0.45">
      <c r="A250" s="89">
        <v>22.1</v>
      </c>
      <c r="B250" s="89">
        <v>88.7</v>
      </c>
      <c r="C250" s="89">
        <v>23</v>
      </c>
      <c r="D250" s="89">
        <v>3</v>
      </c>
      <c r="E250" s="16">
        <v>2710</v>
      </c>
      <c r="F250" s="90"/>
      <c r="G250" s="90"/>
      <c r="H250" s="90"/>
      <c r="I250" s="90"/>
    </row>
    <row r="251" spans="1:9" x14ac:dyDescent="0.45">
      <c r="A251" s="89">
        <v>24.6</v>
      </c>
      <c r="B251" s="89">
        <v>91.7</v>
      </c>
      <c r="C251" s="89">
        <v>6.5</v>
      </c>
      <c r="D251" s="89">
        <v>3</v>
      </c>
      <c r="E251" s="16">
        <v>1996</v>
      </c>
      <c r="F251" s="90"/>
      <c r="G251" s="90"/>
      <c r="H251" s="90"/>
      <c r="I251" s="90"/>
    </row>
    <row r="252" spans="1:9" x14ac:dyDescent="0.45">
      <c r="A252" s="89">
        <v>26</v>
      </c>
      <c r="B252" s="89">
        <v>94</v>
      </c>
      <c r="C252" s="89">
        <v>12.9</v>
      </c>
      <c r="D252" s="89">
        <v>3</v>
      </c>
      <c r="E252" s="16">
        <v>1842</v>
      </c>
      <c r="F252" s="90"/>
      <c r="G252" s="90"/>
      <c r="H252" s="90"/>
      <c r="I252" s="90"/>
    </row>
    <row r="253" spans="1:9" x14ac:dyDescent="0.45">
      <c r="A253" s="89">
        <v>26.6</v>
      </c>
      <c r="B253" s="89">
        <v>89.8</v>
      </c>
      <c r="C253" s="89">
        <v>8.3000000000000007</v>
      </c>
      <c r="D253" s="89">
        <v>2</v>
      </c>
      <c r="E253" s="16">
        <v>3544</v>
      </c>
      <c r="F253" s="90"/>
      <c r="G253" s="90"/>
      <c r="H253" s="90"/>
      <c r="I253" s="90"/>
    </row>
    <row r="254" spans="1:9" x14ac:dyDescent="0.45">
      <c r="A254" s="89">
        <v>27.1</v>
      </c>
      <c r="B254" s="89">
        <v>75.400000000000006</v>
      </c>
      <c r="C254" s="89">
        <v>10.3</v>
      </c>
      <c r="D254" s="89">
        <v>1</v>
      </c>
      <c r="E254" s="16">
        <v>5345</v>
      </c>
      <c r="F254" s="90"/>
      <c r="G254" s="90"/>
      <c r="H254" s="90"/>
      <c r="I254" s="90"/>
    </row>
    <row r="255" spans="1:9" x14ac:dyDescent="0.45">
      <c r="A255" s="89">
        <v>26.8</v>
      </c>
      <c r="B255" s="89">
        <v>71.400000000000006</v>
      </c>
      <c r="C255" s="89">
        <v>7.7</v>
      </c>
      <c r="D255" s="89">
        <v>1</v>
      </c>
      <c r="E255" s="16">
        <v>5046</v>
      </c>
      <c r="F255" s="90"/>
      <c r="G255" s="90"/>
      <c r="H255" s="90"/>
      <c r="I255" s="90"/>
    </row>
    <row r="256" spans="1:9" x14ac:dyDescent="0.45">
      <c r="A256" s="89">
        <v>26.4</v>
      </c>
      <c r="B256" s="89">
        <v>69.2</v>
      </c>
      <c r="C256" s="89">
        <v>6</v>
      </c>
      <c r="D256" s="89">
        <v>1</v>
      </c>
      <c r="E256" s="16">
        <v>4713</v>
      </c>
      <c r="F256" s="90"/>
      <c r="G256" s="90"/>
      <c r="H256" s="90"/>
      <c r="I256" s="90"/>
    </row>
    <row r="257" spans="1:9" x14ac:dyDescent="0.45">
      <c r="A257" s="89">
        <v>26.7</v>
      </c>
      <c r="B257" s="89">
        <v>71.2</v>
      </c>
      <c r="C257" s="89">
        <v>9.5</v>
      </c>
      <c r="D257" s="89">
        <v>1</v>
      </c>
      <c r="E257" s="16">
        <v>4763</v>
      </c>
      <c r="F257" s="90"/>
      <c r="G257" s="90"/>
      <c r="H257" s="90"/>
      <c r="I257" s="90"/>
    </row>
    <row r="258" spans="1:9" x14ac:dyDescent="0.45">
      <c r="A258" s="89">
        <v>27.6</v>
      </c>
      <c r="B258" s="89">
        <v>69.7</v>
      </c>
      <c r="C258" s="89">
        <v>11.2</v>
      </c>
      <c r="D258" s="89">
        <v>1</v>
      </c>
      <c r="E258" s="16">
        <v>4785</v>
      </c>
      <c r="F258" s="90"/>
      <c r="G258" s="90"/>
      <c r="H258" s="90"/>
      <c r="I258" s="90"/>
    </row>
    <row r="259" spans="1:9" x14ac:dyDescent="0.45">
      <c r="A259" s="89">
        <v>23.7</v>
      </c>
      <c r="B259" s="89">
        <v>70.900000000000006</v>
      </c>
      <c r="C259" s="89">
        <v>18.2</v>
      </c>
      <c r="D259" s="89">
        <v>2</v>
      </c>
      <c r="E259" s="16">
        <v>3659</v>
      </c>
      <c r="F259" s="90"/>
      <c r="G259" s="90"/>
      <c r="H259" s="90"/>
      <c r="I259" s="90"/>
    </row>
    <row r="260" spans="1:9" x14ac:dyDescent="0.45">
      <c r="A260" s="89">
        <v>19.2</v>
      </c>
      <c r="B260" s="89">
        <v>59</v>
      </c>
      <c r="C260" s="89">
        <v>11</v>
      </c>
      <c r="D260" s="89">
        <v>2</v>
      </c>
      <c r="E260" s="16">
        <v>4760</v>
      </c>
      <c r="F260" s="90"/>
      <c r="G260" s="90"/>
      <c r="H260" s="90"/>
      <c r="I260" s="90"/>
    </row>
    <row r="261" spans="1:9" x14ac:dyDescent="0.45">
      <c r="A261" s="89">
        <v>20.2</v>
      </c>
      <c r="B261" s="89">
        <v>71.8</v>
      </c>
      <c r="C261" s="89">
        <v>12.7</v>
      </c>
      <c r="D261" s="89">
        <v>2</v>
      </c>
      <c r="E261" s="16">
        <v>4511</v>
      </c>
      <c r="F261" s="90"/>
      <c r="G261" s="90"/>
      <c r="H261" s="90"/>
      <c r="I261" s="90"/>
    </row>
    <row r="262" spans="1:9" x14ac:dyDescent="0.45">
      <c r="A262" s="89">
        <v>20.8</v>
      </c>
      <c r="B262" s="89">
        <v>69.5</v>
      </c>
      <c r="C262" s="89">
        <v>12</v>
      </c>
      <c r="D262" s="89">
        <v>1</v>
      </c>
      <c r="E262" s="16">
        <v>4274</v>
      </c>
      <c r="F262" s="90"/>
      <c r="G262" s="90"/>
      <c r="H262" s="90"/>
      <c r="I262" s="90"/>
    </row>
    <row r="263" spans="1:9" x14ac:dyDescent="0.45">
      <c r="A263" s="89">
        <v>22.5</v>
      </c>
      <c r="B263" s="89">
        <v>69</v>
      </c>
      <c r="C263" s="89">
        <v>10.199999999999999</v>
      </c>
      <c r="D263" s="89">
        <v>2</v>
      </c>
      <c r="E263" s="16">
        <v>4539</v>
      </c>
      <c r="F263" s="90"/>
      <c r="G263" s="90"/>
      <c r="H263" s="90"/>
      <c r="I263" s="90"/>
    </row>
    <row r="264" spans="1:9" x14ac:dyDescent="0.45">
      <c r="A264" s="89">
        <v>23</v>
      </c>
      <c r="B264" s="89">
        <v>88.1</v>
      </c>
      <c r="C264" s="89">
        <v>9</v>
      </c>
      <c r="D264" s="89">
        <v>2</v>
      </c>
      <c r="E264" s="16">
        <v>3641</v>
      </c>
      <c r="F264" s="90"/>
      <c r="G264" s="90"/>
      <c r="H264" s="90"/>
      <c r="I264" s="90"/>
    </row>
    <row r="265" spans="1:9" x14ac:dyDescent="0.45">
      <c r="A265" s="89">
        <v>24.4</v>
      </c>
      <c r="B265" s="89">
        <v>90</v>
      </c>
      <c r="C265" s="89">
        <v>6.5</v>
      </c>
      <c r="D265" s="89">
        <v>2</v>
      </c>
      <c r="E265" s="16">
        <v>4352</v>
      </c>
      <c r="F265" s="90"/>
      <c r="G265" s="90"/>
      <c r="H265" s="90"/>
      <c r="I265" s="90"/>
    </row>
    <row r="266" spans="1:9" x14ac:dyDescent="0.45">
      <c r="A266" s="89">
        <v>25.8</v>
      </c>
      <c r="B266" s="89">
        <v>90.2</v>
      </c>
      <c r="C266" s="89">
        <v>8.6</v>
      </c>
      <c r="D266" s="89">
        <v>2</v>
      </c>
      <c r="E266" s="16">
        <v>4795</v>
      </c>
      <c r="F266" s="90"/>
      <c r="G266" s="90"/>
      <c r="H266" s="90"/>
      <c r="I266" s="90"/>
    </row>
    <row r="267" spans="1:9" x14ac:dyDescent="0.45">
      <c r="A267" s="89">
        <v>25</v>
      </c>
      <c r="B267" s="89">
        <v>97.2</v>
      </c>
      <c r="C267" s="89">
        <v>5.3</v>
      </c>
      <c r="D267" s="89">
        <v>2</v>
      </c>
      <c r="E267" s="16">
        <v>2395</v>
      </c>
      <c r="F267" s="90"/>
      <c r="G267" s="90"/>
      <c r="H267" s="90"/>
      <c r="I267" s="90"/>
    </row>
    <row r="268" spans="1:9" x14ac:dyDescent="0.45">
      <c r="A268" s="89">
        <v>24.9</v>
      </c>
      <c r="B268" s="89">
        <v>86.2</v>
      </c>
      <c r="C268" s="89">
        <v>5.3</v>
      </c>
      <c r="D268" s="89">
        <v>2</v>
      </c>
      <c r="E268" s="16">
        <v>5423</v>
      </c>
      <c r="F268" s="90"/>
      <c r="G268" s="90"/>
      <c r="H268" s="90"/>
      <c r="I268" s="90"/>
    </row>
    <row r="269" spans="1:9" x14ac:dyDescent="0.45">
      <c r="A269" s="89">
        <v>26</v>
      </c>
      <c r="B269" s="89">
        <v>84.5</v>
      </c>
      <c r="C269" s="89">
        <v>3.4</v>
      </c>
      <c r="D269" s="89">
        <v>2</v>
      </c>
      <c r="E269" s="16">
        <v>5010</v>
      </c>
      <c r="F269" s="90"/>
      <c r="G269" s="90"/>
      <c r="H269" s="90"/>
      <c r="I269" s="90"/>
    </row>
    <row r="270" spans="1:9" x14ac:dyDescent="0.45">
      <c r="A270" s="89">
        <v>26.6</v>
      </c>
      <c r="B270" s="89">
        <v>84.8</v>
      </c>
      <c r="C270" s="89">
        <v>7.4</v>
      </c>
      <c r="D270" s="89">
        <v>2</v>
      </c>
      <c r="E270" s="16">
        <v>4630</v>
      </c>
      <c r="F270" s="90"/>
      <c r="G270" s="90"/>
      <c r="H270" s="90"/>
      <c r="I270" s="90"/>
    </row>
    <row r="271" spans="1:9" x14ac:dyDescent="0.45">
      <c r="A271" s="89">
        <v>26.1</v>
      </c>
      <c r="B271" s="89">
        <v>88.5</v>
      </c>
      <c r="C271" s="89">
        <v>7.9</v>
      </c>
      <c r="D271" s="89">
        <v>2</v>
      </c>
      <c r="E271" s="16">
        <v>4120</v>
      </c>
      <c r="F271" s="90"/>
      <c r="G271" s="90"/>
      <c r="H271" s="90"/>
      <c r="I271" s="90"/>
    </row>
    <row r="272" spans="1:9" x14ac:dyDescent="0.45">
      <c r="A272" s="89">
        <v>26</v>
      </c>
      <c r="B272" s="89">
        <v>84.9</v>
      </c>
      <c r="C272" s="89">
        <v>10</v>
      </c>
      <c r="D272" s="89">
        <v>2</v>
      </c>
      <c r="E272" s="16">
        <v>3907</v>
      </c>
      <c r="F272" s="90"/>
      <c r="G272" s="90"/>
      <c r="H272" s="90"/>
      <c r="I272" s="90"/>
    </row>
    <row r="273" spans="1:9" x14ac:dyDescent="0.45">
      <c r="A273" s="89">
        <v>25.3</v>
      </c>
      <c r="B273" s="89">
        <v>69.900000000000006</v>
      </c>
      <c r="C273" s="89">
        <v>11.6</v>
      </c>
      <c r="D273" s="89">
        <v>1</v>
      </c>
      <c r="E273" s="16">
        <v>4839</v>
      </c>
      <c r="F273" s="90"/>
      <c r="G273" s="90"/>
      <c r="H273" s="90"/>
      <c r="I273" s="90"/>
    </row>
    <row r="274" spans="1:9" x14ac:dyDescent="0.45">
      <c r="A274" s="89">
        <v>23.1</v>
      </c>
      <c r="B274" s="89">
        <v>64.8</v>
      </c>
      <c r="C274" s="89">
        <v>13.8</v>
      </c>
      <c r="D274" s="89">
        <v>1</v>
      </c>
      <c r="E274" s="16">
        <v>5202</v>
      </c>
      <c r="F274" s="90"/>
      <c r="G274" s="90"/>
      <c r="H274" s="90"/>
      <c r="I274" s="90"/>
    </row>
    <row r="275" spans="1:9" x14ac:dyDescent="0.45">
      <c r="A275" s="89">
        <v>16.8</v>
      </c>
      <c r="B275" s="89">
        <v>75.400000000000006</v>
      </c>
      <c r="C275" s="89">
        <v>19.600000000000001</v>
      </c>
      <c r="D275" s="89">
        <v>2</v>
      </c>
      <c r="E275" s="16">
        <v>2429</v>
      </c>
      <c r="F275" s="90"/>
      <c r="G275" s="90"/>
      <c r="H275" s="90"/>
      <c r="I275" s="90"/>
    </row>
    <row r="276" spans="1:9" x14ac:dyDescent="0.45">
      <c r="A276" s="89">
        <v>14.6</v>
      </c>
      <c r="B276" s="89">
        <v>79.2</v>
      </c>
      <c r="C276" s="89">
        <v>14.9</v>
      </c>
      <c r="D276" s="89">
        <v>2</v>
      </c>
      <c r="E276" s="16">
        <v>2918</v>
      </c>
      <c r="F276" s="90"/>
      <c r="G276" s="90"/>
      <c r="H276" s="90"/>
      <c r="I276" s="90"/>
    </row>
    <row r="277" spans="1:9" x14ac:dyDescent="0.45">
      <c r="A277" s="89">
        <v>15.8</v>
      </c>
      <c r="B277" s="89">
        <v>76.099999999999994</v>
      </c>
      <c r="C277" s="89">
        <v>5.6</v>
      </c>
      <c r="D277" s="89">
        <v>2</v>
      </c>
      <c r="E277" s="16">
        <v>3570</v>
      </c>
      <c r="F277" s="90"/>
      <c r="G277" s="90"/>
      <c r="H277" s="90"/>
      <c r="I277" s="90"/>
    </row>
    <row r="278" spans="1:9" x14ac:dyDescent="0.45">
      <c r="A278" s="89">
        <v>19.899999999999999</v>
      </c>
      <c r="B278" s="89">
        <v>71</v>
      </c>
      <c r="C278" s="89">
        <v>13.8</v>
      </c>
      <c r="D278" s="89">
        <v>1</v>
      </c>
      <c r="E278" s="16">
        <v>4456</v>
      </c>
      <c r="F278" s="90"/>
      <c r="G278" s="90"/>
      <c r="H278" s="90"/>
      <c r="I278" s="90"/>
    </row>
    <row r="279" spans="1:9" x14ac:dyDescent="0.45">
      <c r="A279" s="89">
        <v>22.1</v>
      </c>
      <c r="B279" s="89">
        <v>64.8</v>
      </c>
      <c r="C279" s="89">
        <v>11.9</v>
      </c>
      <c r="D279" s="89">
        <v>1</v>
      </c>
      <c r="E279" s="16">
        <v>4826</v>
      </c>
      <c r="F279" s="90"/>
      <c r="G279" s="90"/>
      <c r="H279" s="90"/>
      <c r="I279" s="90"/>
    </row>
    <row r="280" spans="1:9" x14ac:dyDescent="0.45">
      <c r="A280" s="89">
        <v>20.3</v>
      </c>
      <c r="B280" s="89">
        <v>62.1</v>
      </c>
      <c r="C280" s="89">
        <v>9</v>
      </c>
      <c r="D280" s="89">
        <v>1</v>
      </c>
      <c r="E280" s="16">
        <v>4765</v>
      </c>
      <c r="F280" s="90"/>
      <c r="G280" s="90"/>
      <c r="H280" s="90"/>
      <c r="I280" s="90"/>
    </row>
    <row r="281" spans="1:9" x14ac:dyDescent="0.45">
      <c r="A281" s="89">
        <v>20.9</v>
      </c>
      <c r="B281" s="89">
        <v>68.400000000000006</v>
      </c>
      <c r="C281" s="89">
        <v>1.5</v>
      </c>
      <c r="D281" s="89">
        <v>1</v>
      </c>
      <c r="E281" s="16">
        <v>4985</v>
      </c>
      <c r="F281" s="90"/>
      <c r="G281" s="90"/>
      <c r="H281" s="90"/>
      <c r="I281" s="90"/>
    </row>
    <row r="282" spans="1:9" x14ac:dyDescent="0.45">
      <c r="A282" s="89">
        <v>21.4</v>
      </c>
      <c r="B282" s="89">
        <v>70.099999999999994</v>
      </c>
      <c r="C282" s="89">
        <v>3</v>
      </c>
      <c r="D282" s="89">
        <v>1</v>
      </c>
      <c r="E282" s="16">
        <v>5409</v>
      </c>
      <c r="F282" s="90"/>
      <c r="G282" s="90"/>
      <c r="H282" s="90"/>
      <c r="I282" s="90"/>
    </row>
    <row r="283" spans="1:9" x14ac:dyDescent="0.45">
      <c r="A283" s="89">
        <v>22.2</v>
      </c>
      <c r="B283" s="89">
        <v>72.8</v>
      </c>
      <c r="C283" s="89">
        <v>4.3</v>
      </c>
      <c r="D283" s="89">
        <v>1</v>
      </c>
      <c r="E283" s="16">
        <v>5511</v>
      </c>
      <c r="F283" s="90"/>
      <c r="G283" s="90"/>
      <c r="H283" s="90"/>
      <c r="I283" s="90"/>
    </row>
    <row r="284" spans="1:9" x14ac:dyDescent="0.45">
      <c r="A284" s="89">
        <v>23.4</v>
      </c>
      <c r="B284" s="89">
        <v>73.400000000000006</v>
      </c>
      <c r="C284" s="89">
        <v>2.8</v>
      </c>
      <c r="D284" s="89">
        <v>1</v>
      </c>
      <c r="E284" s="16">
        <v>5117</v>
      </c>
      <c r="F284" s="90"/>
      <c r="G284" s="90"/>
      <c r="H284" s="90"/>
      <c r="I284" s="90"/>
    </row>
    <row r="285" spans="1:9" x14ac:dyDescent="0.45">
      <c r="A285" s="89">
        <v>23.2</v>
      </c>
      <c r="B285" s="89">
        <v>80.900000000000006</v>
      </c>
      <c r="C285" s="89">
        <v>9.6</v>
      </c>
      <c r="D285" s="89">
        <v>2</v>
      </c>
      <c r="E285" s="16">
        <v>4563</v>
      </c>
      <c r="F285" s="90"/>
      <c r="G285" s="90"/>
      <c r="H285" s="90"/>
      <c r="I285" s="90"/>
    </row>
    <row r="286" spans="1:9" x14ac:dyDescent="0.45">
      <c r="A286" s="89">
        <v>22.3</v>
      </c>
      <c r="B286" s="89">
        <v>90.6</v>
      </c>
      <c r="C286" s="89">
        <v>16.600000000000001</v>
      </c>
      <c r="D286" s="89">
        <v>3</v>
      </c>
      <c r="E286" s="16">
        <v>2416</v>
      </c>
      <c r="F286" s="90"/>
      <c r="G286" s="90"/>
      <c r="H286" s="90"/>
      <c r="I286" s="90"/>
    </row>
    <row r="287" spans="1:9" x14ac:dyDescent="0.45">
      <c r="A287" s="89">
        <v>24.2</v>
      </c>
      <c r="B287" s="89">
        <v>89.7</v>
      </c>
      <c r="C287" s="89">
        <v>9.5</v>
      </c>
      <c r="D287" s="89">
        <v>2</v>
      </c>
      <c r="E287" s="16">
        <v>2913</v>
      </c>
      <c r="F287" s="90"/>
      <c r="G287" s="90"/>
      <c r="H287" s="90"/>
      <c r="I287" s="90"/>
    </row>
    <row r="288" spans="1:9" x14ac:dyDescent="0.45">
      <c r="A288" s="89">
        <v>22.6</v>
      </c>
      <c r="B288" s="89">
        <v>71.599999999999994</v>
      </c>
      <c r="C288" s="89">
        <v>15</v>
      </c>
      <c r="D288" s="89">
        <v>2</v>
      </c>
      <c r="E288" s="16">
        <v>3644</v>
      </c>
      <c r="F288" s="90"/>
      <c r="G288" s="90"/>
      <c r="H288" s="90"/>
      <c r="I288" s="90"/>
    </row>
    <row r="289" spans="1:9" x14ac:dyDescent="0.45">
      <c r="A289" s="89">
        <v>20.8</v>
      </c>
      <c r="B289" s="89">
        <v>48.3</v>
      </c>
      <c r="C289" s="89">
        <v>17.3</v>
      </c>
      <c r="D289" s="89">
        <v>1</v>
      </c>
      <c r="E289" s="16">
        <v>5217</v>
      </c>
      <c r="F289" s="90"/>
      <c r="G289" s="90"/>
      <c r="H289" s="90"/>
      <c r="I289" s="90"/>
    </row>
    <row r="290" spans="1:9" x14ac:dyDescent="0.45">
      <c r="A290" s="89">
        <v>21</v>
      </c>
      <c r="B290" s="89">
        <v>48.7</v>
      </c>
      <c r="C290" s="89">
        <v>18.899999999999999</v>
      </c>
      <c r="D290" s="89">
        <v>1</v>
      </c>
      <c r="E290" s="16">
        <v>5041</v>
      </c>
      <c r="F290" s="90"/>
      <c r="G290" s="90"/>
      <c r="H290" s="90"/>
      <c r="I290" s="90"/>
    </row>
    <row r="291" spans="1:9" x14ac:dyDescent="0.45">
      <c r="A291" s="89">
        <v>21.9</v>
      </c>
      <c r="B291" s="89">
        <v>58</v>
      </c>
      <c r="C291" s="89">
        <v>11.8</v>
      </c>
      <c r="D291" s="89">
        <v>1</v>
      </c>
      <c r="E291" s="16">
        <v>4570</v>
      </c>
      <c r="F291" s="90"/>
      <c r="G291" s="90"/>
      <c r="H291" s="90"/>
      <c r="I291" s="90"/>
    </row>
    <row r="292" spans="1:9" x14ac:dyDescent="0.45">
      <c r="A292" s="89">
        <v>21.8</v>
      </c>
      <c r="B292" s="89">
        <v>70.2</v>
      </c>
      <c r="C292" s="89">
        <v>7.4</v>
      </c>
      <c r="D292" s="89">
        <v>2</v>
      </c>
      <c r="E292" s="16">
        <v>4748</v>
      </c>
      <c r="F292" s="90"/>
      <c r="G292" s="90"/>
      <c r="H292" s="90"/>
      <c r="I292" s="90"/>
    </row>
    <row r="293" spans="1:9" x14ac:dyDescent="0.45">
      <c r="A293" s="89">
        <v>22.2</v>
      </c>
      <c r="B293" s="89">
        <v>89.5</v>
      </c>
      <c r="C293" s="89">
        <v>16.3</v>
      </c>
      <c r="D293" s="89">
        <v>3</v>
      </c>
      <c r="E293" s="16">
        <v>2424</v>
      </c>
      <c r="F293" s="90"/>
      <c r="G293" s="90"/>
      <c r="H293" s="90"/>
      <c r="I293" s="90"/>
    </row>
    <row r="294" spans="1:9" x14ac:dyDescent="0.45">
      <c r="A294" s="89">
        <v>19.5</v>
      </c>
      <c r="B294" s="89">
        <v>63.6</v>
      </c>
      <c r="C294" s="89">
        <v>28.3</v>
      </c>
      <c r="D294" s="89">
        <v>1</v>
      </c>
      <c r="E294" s="16">
        <v>4195</v>
      </c>
      <c r="F294" s="90"/>
      <c r="G294" s="90"/>
      <c r="H294" s="90"/>
      <c r="I294" s="90"/>
    </row>
    <row r="295" spans="1:9" x14ac:dyDescent="0.45">
      <c r="A295" s="89">
        <v>17.5</v>
      </c>
      <c r="B295" s="89">
        <v>57.4</v>
      </c>
      <c r="C295" s="89">
        <v>14.8</v>
      </c>
      <c r="D295" s="89">
        <v>1</v>
      </c>
      <c r="E295" s="16">
        <v>4304</v>
      </c>
      <c r="F295" s="90"/>
      <c r="G295" s="90"/>
      <c r="H295" s="90"/>
      <c r="I295" s="90"/>
    </row>
    <row r="296" spans="1:9" x14ac:dyDescent="0.45">
      <c r="A296" s="89">
        <v>17.3</v>
      </c>
      <c r="B296" s="89">
        <v>62.9</v>
      </c>
      <c r="C296" s="89">
        <v>6.2</v>
      </c>
      <c r="D296" s="89">
        <v>1</v>
      </c>
      <c r="E296" s="16">
        <v>4308</v>
      </c>
      <c r="F296" s="90"/>
      <c r="G296" s="90"/>
      <c r="H296" s="90"/>
      <c r="I296" s="90"/>
    </row>
    <row r="297" spans="1:9" x14ac:dyDescent="0.45">
      <c r="A297" s="89">
        <v>17.3</v>
      </c>
      <c r="B297" s="89">
        <v>74.099999999999994</v>
      </c>
      <c r="C297" s="89">
        <v>6.7</v>
      </c>
      <c r="D297" s="89">
        <v>1</v>
      </c>
      <c r="E297" s="16">
        <v>4381</v>
      </c>
      <c r="F297" s="90"/>
      <c r="G297" s="90"/>
      <c r="H297" s="90"/>
      <c r="I297" s="90"/>
    </row>
    <row r="298" spans="1:9" x14ac:dyDescent="0.45">
      <c r="A298" s="89">
        <v>19</v>
      </c>
      <c r="B298" s="89">
        <v>77.2</v>
      </c>
      <c r="C298" s="89">
        <v>8</v>
      </c>
      <c r="D298" s="89">
        <v>1</v>
      </c>
      <c r="E298" s="16">
        <v>4187</v>
      </c>
      <c r="F298" s="90"/>
      <c r="G298" s="90"/>
      <c r="H298" s="90"/>
      <c r="I298" s="90"/>
    </row>
    <row r="299" spans="1:9" x14ac:dyDescent="0.45">
      <c r="A299" s="89">
        <v>19.3</v>
      </c>
      <c r="B299" s="89">
        <v>62.3</v>
      </c>
      <c r="C299" s="89">
        <v>11.2</v>
      </c>
      <c r="D299" s="89">
        <v>1</v>
      </c>
      <c r="E299" s="16">
        <v>4687</v>
      </c>
      <c r="F299" s="90"/>
      <c r="G299" s="90"/>
      <c r="H299" s="90"/>
      <c r="I299" s="90"/>
    </row>
    <row r="300" spans="1:9" x14ac:dyDescent="0.45">
      <c r="A300" s="89">
        <v>19.899999999999999</v>
      </c>
      <c r="B300" s="89">
        <v>72</v>
      </c>
      <c r="C300" s="89">
        <v>10</v>
      </c>
      <c r="D300" s="89">
        <v>2</v>
      </c>
      <c r="E300" s="16">
        <v>3894</v>
      </c>
      <c r="F300" s="90"/>
      <c r="G300" s="90"/>
      <c r="H300" s="90"/>
      <c r="I300" s="90"/>
    </row>
    <row r="301" spans="1:9" x14ac:dyDescent="0.45">
      <c r="A301" s="89">
        <v>19.3</v>
      </c>
      <c r="B301" s="89">
        <v>81.3</v>
      </c>
      <c r="C301" s="89">
        <v>13.3</v>
      </c>
      <c r="D301" s="89">
        <v>2</v>
      </c>
      <c r="E301" s="16">
        <v>2659</v>
      </c>
      <c r="F301" s="90"/>
      <c r="G301" s="90"/>
      <c r="H301" s="90"/>
      <c r="I301" s="90"/>
    </row>
    <row r="302" spans="1:9" x14ac:dyDescent="0.45">
      <c r="A302" s="89">
        <v>13.6</v>
      </c>
      <c r="B302" s="89">
        <v>58.6</v>
      </c>
      <c r="C302" s="89">
        <v>15.4</v>
      </c>
      <c r="D302" s="89">
        <v>2</v>
      </c>
      <c r="E302" s="16">
        <v>3747</v>
      </c>
      <c r="F302" s="90"/>
      <c r="G302" s="90"/>
      <c r="H302" s="90"/>
      <c r="I302" s="90"/>
    </row>
    <row r="303" spans="1:9" x14ac:dyDescent="0.45">
      <c r="A303" s="89">
        <v>10.4</v>
      </c>
      <c r="B303" s="89">
        <v>88.2</v>
      </c>
      <c r="C303" s="89">
        <v>23.5</v>
      </c>
      <c r="D303" s="89">
        <v>3</v>
      </c>
      <c r="E303" s="16">
        <v>627</v>
      </c>
      <c r="F303" s="90"/>
      <c r="G303" s="90"/>
      <c r="H303" s="90"/>
      <c r="I303" s="90"/>
    </row>
    <row r="304" spans="1:9" x14ac:dyDescent="0.45">
      <c r="A304" s="89">
        <v>13.1</v>
      </c>
      <c r="B304" s="89">
        <v>62.4</v>
      </c>
      <c r="C304" s="89">
        <v>11.8</v>
      </c>
      <c r="D304" s="89">
        <v>1</v>
      </c>
      <c r="E304" s="16">
        <v>3331</v>
      </c>
      <c r="F304" s="90"/>
      <c r="G304" s="90"/>
      <c r="H304" s="90"/>
      <c r="I304" s="90"/>
    </row>
    <row r="305" spans="1:9" x14ac:dyDescent="0.45">
      <c r="A305" s="89">
        <v>13.9</v>
      </c>
      <c r="B305" s="89">
        <v>70.3</v>
      </c>
      <c r="C305" s="89">
        <v>7.1</v>
      </c>
      <c r="D305" s="89">
        <v>1</v>
      </c>
      <c r="E305" s="16">
        <v>3669</v>
      </c>
      <c r="F305" s="90"/>
      <c r="G305" s="90"/>
      <c r="H305" s="90"/>
      <c r="I305" s="90"/>
    </row>
    <row r="306" spans="1:9" x14ac:dyDescent="0.45">
      <c r="A306" s="89">
        <v>16.399999999999999</v>
      </c>
      <c r="B306" s="89">
        <v>68.400000000000006</v>
      </c>
      <c r="C306" s="89">
        <v>9.1</v>
      </c>
      <c r="D306" s="89">
        <v>1</v>
      </c>
      <c r="E306" s="16">
        <v>4068</v>
      </c>
      <c r="F306" s="90"/>
      <c r="G306" s="90"/>
      <c r="H306" s="90"/>
      <c r="I306" s="90"/>
    </row>
    <row r="307" spans="1:9" x14ac:dyDescent="0.45">
      <c r="A307" s="89">
        <v>15.5</v>
      </c>
      <c r="B307" s="89">
        <v>71.900000000000006</v>
      </c>
      <c r="C307" s="89">
        <v>5.5</v>
      </c>
      <c r="D307" s="89">
        <v>1</v>
      </c>
      <c r="E307" s="16">
        <v>4186</v>
      </c>
      <c r="F307" s="90"/>
      <c r="G307" s="90"/>
      <c r="H307" s="90"/>
      <c r="I307" s="90"/>
    </row>
    <row r="308" spans="1:9" x14ac:dyDescent="0.45">
      <c r="A308" s="89">
        <v>16.7</v>
      </c>
      <c r="B308" s="89">
        <v>70.2</v>
      </c>
      <c r="C308" s="89">
        <v>9.1999999999999993</v>
      </c>
      <c r="D308" s="89">
        <v>1</v>
      </c>
      <c r="E308" s="16">
        <v>3974</v>
      </c>
      <c r="F308" s="90"/>
      <c r="G308" s="90"/>
      <c r="H308" s="90"/>
      <c r="I308" s="90"/>
    </row>
    <row r="309" spans="1:9" x14ac:dyDescent="0.45">
      <c r="A309" s="89">
        <v>16.5</v>
      </c>
      <c r="B309" s="89">
        <v>62.3</v>
      </c>
      <c r="C309" s="89">
        <v>18.2</v>
      </c>
      <c r="D309" s="89">
        <v>2</v>
      </c>
      <c r="E309" s="16">
        <v>4046</v>
      </c>
      <c r="F309" s="90"/>
      <c r="G309" s="90"/>
      <c r="H309" s="90"/>
      <c r="I309" s="90"/>
    </row>
    <row r="310" spans="1:9" x14ac:dyDescent="0.45">
      <c r="A310" s="89">
        <v>13.4</v>
      </c>
      <c r="B310" s="89">
        <v>51.9</v>
      </c>
      <c r="C310" s="89">
        <v>12.7</v>
      </c>
      <c r="D310" s="89">
        <v>1</v>
      </c>
      <c r="E310" s="16">
        <v>3926</v>
      </c>
      <c r="F310" s="90"/>
      <c r="G310" s="90"/>
      <c r="H310" s="90"/>
      <c r="I310" s="90"/>
    </row>
    <row r="311" spans="1:9" x14ac:dyDescent="0.45">
      <c r="A311" s="89">
        <v>14.3</v>
      </c>
      <c r="B311" s="89">
        <v>73.5</v>
      </c>
      <c r="C311" s="89">
        <v>6.2</v>
      </c>
      <c r="D311" s="89">
        <v>1</v>
      </c>
      <c r="E311" s="16">
        <v>3649</v>
      </c>
      <c r="F311" s="90"/>
      <c r="G311" s="90"/>
      <c r="H311" s="90"/>
      <c r="I311" s="90"/>
    </row>
    <row r="312" spans="1:9" x14ac:dyDescent="0.45">
      <c r="A312" s="89">
        <v>16.2</v>
      </c>
      <c r="B312" s="89">
        <v>75.900000000000006</v>
      </c>
      <c r="C312" s="89">
        <v>3.8</v>
      </c>
      <c r="D312" s="89">
        <v>1</v>
      </c>
      <c r="E312" s="16">
        <v>4035</v>
      </c>
      <c r="F312" s="90"/>
      <c r="G312" s="90"/>
      <c r="H312" s="90"/>
      <c r="I312" s="90"/>
    </row>
    <row r="313" spans="1:9" x14ac:dyDescent="0.45">
      <c r="A313" s="89">
        <v>16.7</v>
      </c>
      <c r="B313" s="89">
        <v>72.2</v>
      </c>
      <c r="C313" s="89">
        <v>4.5999999999999996</v>
      </c>
      <c r="D313" s="89">
        <v>1</v>
      </c>
      <c r="E313" s="16">
        <v>4205</v>
      </c>
      <c r="F313" s="90"/>
      <c r="G313" s="90"/>
      <c r="H313" s="90"/>
      <c r="I313" s="90"/>
    </row>
    <row r="314" spans="1:9" x14ac:dyDescent="0.45">
      <c r="A314" s="89">
        <v>16.399999999999999</v>
      </c>
      <c r="B314" s="89">
        <v>75.8</v>
      </c>
      <c r="C314" s="89">
        <v>4.2</v>
      </c>
      <c r="D314" s="89">
        <v>1</v>
      </c>
      <c r="E314" s="16">
        <v>4109</v>
      </c>
      <c r="F314" s="90"/>
      <c r="G314" s="90"/>
      <c r="H314" s="90"/>
      <c r="I314" s="90"/>
    </row>
    <row r="315" spans="1:9" x14ac:dyDescent="0.45">
      <c r="A315" s="89">
        <v>15.6</v>
      </c>
      <c r="B315" s="89">
        <v>81.3</v>
      </c>
      <c r="C315" s="89">
        <v>12.7</v>
      </c>
      <c r="D315" s="89">
        <v>2</v>
      </c>
      <c r="E315" s="16">
        <v>2933</v>
      </c>
      <c r="F315" s="90"/>
      <c r="G315" s="90"/>
      <c r="H315" s="90"/>
      <c r="I315" s="90"/>
    </row>
    <row r="316" spans="1:9" x14ac:dyDescent="0.45">
      <c r="A316" s="89">
        <v>13.3</v>
      </c>
      <c r="B316" s="89">
        <v>44.6</v>
      </c>
      <c r="C316" s="89">
        <v>21.1</v>
      </c>
      <c r="D316" s="89">
        <v>1</v>
      </c>
      <c r="E316" s="16">
        <v>3368</v>
      </c>
      <c r="F316" s="90"/>
      <c r="G316" s="90"/>
      <c r="H316" s="90"/>
      <c r="I316" s="90"/>
    </row>
    <row r="317" spans="1:9" x14ac:dyDescent="0.45">
      <c r="A317" s="89">
        <v>14.6</v>
      </c>
      <c r="B317" s="89">
        <v>55.3</v>
      </c>
      <c r="C317" s="89">
        <v>14.2</v>
      </c>
      <c r="D317" s="89">
        <v>1</v>
      </c>
      <c r="E317" s="16">
        <v>4067</v>
      </c>
      <c r="F317" s="90"/>
      <c r="G317" s="90"/>
      <c r="H317" s="90"/>
      <c r="I317" s="90"/>
    </row>
    <row r="318" spans="1:9" x14ac:dyDescent="0.45">
      <c r="A318" s="89">
        <v>18.100000000000001</v>
      </c>
      <c r="B318" s="89">
        <v>45.8</v>
      </c>
      <c r="C318" s="89">
        <v>18.899999999999999</v>
      </c>
      <c r="D318" s="89">
        <v>1</v>
      </c>
      <c r="E318" s="16">
        <v>3717</v>
      </c>
      <c r="F318" s="90"/>
      <c r="G318" s="90"/>
      <c r="H318" s="90"/>
      <c r="I318" s="90"/>
    </row>
    <row r="319" spans="1:9" x14ac:dyDescent="0.45">
      <c r="A319" s="89">
        <v>21.7</v>
      </c>
      <c r="B319" s="89">
        <v>58.7</v>
      </c>
      <c r="C319" s="89">
        <v>20.5</v>
      </c>
      <c r="D319" s="89">
        <v>1</v>
      </c>
      <c r="E319" s="16">
        <v>4486</v>
      </c>
      <c r="F319" s="90"/>
      <c r="G319" s="90"/>
      <c r="H319" s="90"/>
      <c r="I319" s="90"/>
    </row>
    <row r="320" spans="1:9" x14ac:dyDescent="0.45">
      <c r="A320" s="89">
        <v>21.7</v>
      </c>
      <c r="B320" s="89">
        <v>68.900000000000006</v>
      </c>
      <c r="C320" s="89">
        <v>13.4</v>
      </c>
      <c r="D320" s="89">
        <v>2</v>
      </c>
      <c r="E320" s="16">
        <v>4195</v>
      </c>
      <c r="F320" s="90"/>
      <c r="G320" s="90"/>
      <c r="H320" s="90"/>
      <c r="I320" s="90"/>
    </row>
    <row r="321" spans="1:9" x14ac:dyDescent="0.45">
      <c r="A321" s="89">
        <v>18.7</v>
      </c>
      <c r="B321" s="89">
        <v>93</v>
      </c>
      <c r="C321" s="89">
        <v>9.1999999999999993</v>
      </c>
      <c r="D321" s="89">
        <v>3</v>
      </c>
      <c r="E321" s="16">
        <v>1817</v>
      </c>
      <c r="F321" s="90"/>
      <c r="G321" s="90"/>
      <c r="H321" s="90"/>
      <c r="I321" s="90"/>
    </row>
    <row r="322" spans="1:9" x14ac:dyDescent="0.45">
      <c r="A322" s="89">
        <v>14</v>
      </c>
      <c r="B322" s="89">
        <v>57.6</v>
      </c>
      <c r="C322" s="89">
        <v>20.5</v>
      </c>
      <c r="D322" s="89">
        <v>2</v>
      </c>
      <c r="E322" s="16">
        <v>3053</v>
      </c>
      <c r="F322" s="90"/>
      <c r="G322" s="90"/>
      <c r="H322" s="90"/>
      <c r="I322" s="90"/>
    </row>
    <row r="323" spans="1:9" x14ac:dyDescent="0.45">
      <c r="A323" s="89">
        <v>11.2</v>
      </c>
      <c r="B323" s="89">
        <v>41</v>
      </c>
      <c r="C323" s="89">
        <v>11.3</v>
      </c>
      <c r="D323" s="89">
        <v>1</v>
      </c>
      <c r="E323" s="16">
        <v>3392</v>
      </c>
      <c r="F323" s="90"/>
      <c r="G323" s="90"/>
      <c r="H323" s="90"/>
      <c r="I323" s="90"/>
    </row>
    <row r="324" spans="1:9" x14ac:dyDescent="0.45">
      <c r="A324" s="89">
        <v>13.5</v>
      </c>
      <c r="B324" s="89">
        <v>50.2</v>
      </c>
      <c r="C324" s="89">
        <v>15</v>
      </c>
      <c r="D324" s="89">
        <v>1</v>
      </c>
      <c r="E324" s="16">
        <v>3663</v>
      </c>
      <c r="F324" s="90"/>
      <c r="G324" s="90"/>
      <c r="H324" s="90"/>
      <c r="I324" s="90"/>
    </row>
    <row r="325" spans="1:9" x14ac:dyDescent="0.45">
      <c r="A325" s="89">
        <v>19</v>
      </c>
      <c r="B325" s="89">
        <v>68.5</v>
      </c>
      <c r="C325" s="89">
        <v>12.5</v>
      </c>
      <c r="D325" s="89">
        <v>2</v>
      </c>
      <c r="E325" s="16">
        <v>3520</v>
      </c>
      <c r="F325" s="90"/>
      <c r="G325" s="90"/>
      <c r="H325" s="90"/>
      <c r="I325" s="90"/>
    </row>
    <row r="326" spans="1:9" x14ac:dyDescent="0.45">
      <c r="A326" s="89">
        <v>18.3</v>
      </c>
      <c r="B326" s="89">
        <v>91</v>
      </c>
      <c r="C326" s="89">
        <v>9.1999999999999993</v>
      </c>
      <c r="D326" s="89">
        <v>3</v>
      </c>
      <c r="E326" s="16">
        <v>2765</v>
      </c>
      <c r="F326" s="90"/>
      <c r="G326" s="90"/>
      <c r="H326" s="90"/>
      <c r="I326" s="90"/>
    </row>
    <row r="327" spans="1:9" x14ac:dyDescent="0.45">
      <c r="A327" s="89">
        <v>17.100000000000001</v>
      </c>
      <c r="B327" s="89">
        <v>96.2</v>
      </c>
      <c r="C327" s="89">
        <v>8</v>
      </c>
      <c r="D327" s="89">
        <v>3</v>
      </c>
      <c r="E327" s="16">
        <v>1607</v>
      </c>
      <c r="F327" s="90"/>
      <c r="G327" s="90"/>
      <c r="H327" s="90"/>
      <c r="I327" s="90"/>
    </row>
    <row r="328" spans="1:9" x14ac:dyDescent="0.45">
      <c r="A328" s="89">
        <v>18.100000000000001</v>
      </c>
      <c r="B328" s="89">
        <v>75.8</v>
      </c>
      <c r="C328" s="89">
        <v>22.5</v>
      </c>
      <c r="D328" s="89">
        <v>2</v>
      </c>
      <c r="E328" s="16">
        <v>2566</v>
      </c>
      <c r="F328" s="90"/>
      <c r="G328" s="90"/>
      <c r="H328" s="90"/>
      <c r="I328" s="90"/>
    </row>
    <row r="329" spans="1:9" x14ac:dyDescent="0.45">
      <c r="A329" s="89">
        <v>15.3</v>
      </c>
      <c r="B329" s="89">
        <v>54.9</v>
      </c>
      <c r="C329" s="89">
        <v>11.2</v>
      </c>
      <c r="D329" s="89">
        <v>1</v>
      </c>
      <c r="E329" s="16">
        <v>1495</v>
      </c>
      <c r="F329" s="90"/>
      <c r="G329" s="90"/>
      <c r="H329" s="90"/>
      <c r="I329" s="90"/>
    </row>
    <row r="330" spans="1:9" x14ac:dyDescent="0.45">
      <c r="A330" s="89">
        <v>15.4</v>
      </c>
      <c r="B330" s="89">
        <v>64.400000000000006</v>
      </c>
      <c r="C330" s="89">
        <v>6.6</v>
      </c>
      <c r="D330" s="89">
        <v>1</v>
      </c>
      <c r="E330" s="16">
        <v>2792</v>
      </c>
      <c r="F330" s="90"/>
      <c r="G330" s="90"/>
      <c r="H330" s="90"/>
      <c r="I330" s="90"/>
    </row>
    <row r="331" spans="1:9" x14ac:dyDescent="0.45">
      <c r="A331" s="89">
        <v>15.4</v>
      </c>
      <c r="B331" s="89">
        <v>68.2</v>
      </c>
      <c r="C331" s="89">
        <v>4.5999999999999996</v>
      </c>
      <c r="D331" s="89">
        <v>1</v>
      </c>
      <c r="E331" s="16">
        <v>3068</v>
      </c>
      <c r="F331" s="90"/>
      <c r="G331" s="90"/>
      <c r="H331" s="90"/>
      <c r="I331" s="90"/>
    </row>
    <row r="332" spans="1:9" x14ac:dyDescent="0.45">
      <c r="A332" s="89">
        <v>18.8</v>
      </c>
      <c r="B332" s="89">
        <v>69.8</v>
      </c>
      <c r="C332" s="89">
        <v>14</v>
      </c>
      <c r="D332" s="89">
        <v>1</v>
      </c>
      <c r="E332" s="16">
        <v>3071</v>
      </c>
      <c r="F332" s="90"/>
      <c r="G332" s="90"/>
      <c r="H332" s="90"/>
      <c r="I332" s="90"/>
    </row>
    <row r="333" spans="1:9" x14ac:dyDescent="0.45">
      <c r="A333" s="89">
        <v>20.6</v>
      </c>
      <c r="B333" s="89">
        <v>74.3</v>
      </c>
      <c r="C333" s="89">
        <v>9.5</v>
      </c>
      <c r="D333" s="89">
        <v>1</v>
      </c>
      <c r="E333" s="16">
        <v>3867</v>
      </c>
      <c r="F333" s="90"/>
      <c r="G333" s="90"/>
      <c r="H333" s="90"/>
      <c r="I333" s="90"/>
    </row>
    <row r="334" spans="1:9" x14ac:dyDescent="0.45">
      <c r="A334" s="89">
        <v>18.8</v>
      </c>
      <c r="B334" s="89">
        <v>83.1</v>
      </c>
      <c r="C334" s="89">
        <v>17.3</v>
      </c>
      <c r="D334" s="89">
        <v>2</v>
      </c>
      <c r="E334" s="16">
        <v>2914</v>
      </c>
      <c r="F334" s="90"/>
      <c r="G334" s="90"/>
      <c r="H334" s="90"/>
      <c r="I334" s="90"/>
    </row>
    <row r="335" spans="1:9" x14ac:dyDescent="0.45">
      <c r="A335" s="89">
        <v>13.3</v>
      </c>
      <c r="B335" s="89">
        <v>61.3</v>
      </c>
      <c r="C335" s="89">
        <v>18.2</v>
      </c>
      <c r="D335" s="89">
        <v>1</v>
      </c>
      <c r="E335" s="16">
        <v>3613</v>
      </c>
      <c r="F335" s="90"/>
      <c r="G335" s="90"/>
      <c r="H335" s="90"/>
      <c r="I335" s="90"/>
    </row>
    <row r="336" spans="1:9" x14ac:dyDescent="0.45">
      <c r="A336" s="89">
        <v>12.8</v>
      </c>
      <c r="B336" s="89">
        <v>52.5</v>
      </c>
      <c r="C336" s="89">
        <v>14.8</v>
      </c>
      <c r="D336" s="89">
        <v>1</v>
      </c>
      <c r="E336" s="16">
        <v>3727</v>
      </c>
      <c r="F336" s="90"/>
      <c r="G336" s="90"/>
      <c r="H336" s="90"/>
      <c r="I336" s="90"/>
    </row>
    <row r="337" spans="1:9" x14ac:dyDescent="0.45">
      <c r="A337" s="89">
        <v>12.9</v>
      </c>
      <c r="B337" s="89">
        <v>62.6</v>
      </c>
      <c r="C337" s="89">
        <v>6.8</v>
      </c>
      <c r="D337" s="89">
        <v>1</v>
      </c>
      <c r="E337" s="16">
        <v>3940</v>
      </c>
      <c r="F337" s="90"/>
      <c r="G337" s="90"/>
      <c r="H337" s="90"/>
      <c r="I337" s="90"/>
    </row>
    <row r="338" spans="1:9" x14ac:dyDescent="0.45">
      <c r="A338" s="89">
        <v>12.3</v>
      </c>
      <c r="B338" s="89">
        <v>61.3</v>
      </c>
      <c r="C338" s="89">
        <v>6.4</v>
      </c>
      <c r="D338" s="89">
        <v>1</v>
      </c>
      <c r="E338" s="16">
        <v>3614</v>
      </c>
      <c r="F338" s="90"/>
      <c r="G338" s="90"/>
      <c r="H338" s="90"/>
      <c r="I338" s="90"/>
    </row>
    <row r="339" spans="1:9" x14ac:dyDescent="0.45">
      <c r="A339" s="89">
        <v>13.6</v>
      </c>
      <c r="B339" s="89">
        <v>77.599999999999994</v>
      </c>
      <c r="C339" s="89">
        <v>5.6</v>
      </c>
      <c r="D339" s="89">
        <v>1</v>
      </c>
      <c r="E339" s="16">
        <v>3485</v>
      </c>
      <c r="F339" s="90"/>
      <c r="G339" s="90"/>
      <c r="H339" s="90"/>
      <c r="I339" s="90"/>
    </row>
    <row r="340" spans="1:9" x14ac:dyDescent="0.45">
      <c r="A340" s="89">
        <v>15.8</v>
      </c>
      <c r="B340" s="89">
        <v>82.7</v>
      </c>
      <c r="C340" s="89">
        <v>4.2</v>
      </c>
      <c r="D340" s="89">
        <v>2</v>
      </c>
      <c r="E340" s="16">
        <v>3811</v>
      </c>
      <c r="F340" s="90"/>
      <c r="G340" s="90"/>
      <c r="H340" s="90"/>
      <c r="I340" s="90"/>
    </row>
    <row r="341" spans="1:9" x14ac:dyDescent="0.45">
      <c r="A341" s="89">
        <v>19</v>
      </c>
      <c r="B341" s="89">
        <v>95</v>
      </c>
      <c r="C341" s="89">
        <v>15.6</v>
      </c>
      <c r="D341" s="89">
        <v>3</v>
      </c>
      <c r="E341" s="16">
        <v>2594</v>
      </c>
      <c r="F341" s="90"/>
      <c r="G341" s="90"/>
      <c r="H341" s="90"/>
      <c r="I341" s="90"/>
    </row>
    <row r="342" spans="1:9" x14ac:dyDescent="0.45">
      <c r="A342" s="89">
        <v>16.8</v>
      </c>
      <c r="B342" s="89">
        <v>97</v>
      </c>
      <c r="C342" s="89">
        <v>17.8</v>
      </c>
      <c r="D342" s="89">
        <v>3</v>
      </c>
      <c r="E342" s="16">
        <v>705</v>
      </c>
      <c r="F342" s="90"/>
      <c r="G342" s="90"/>
      <c r="H342" s="90"/>
      <c r="I342" s="90"/>
    </row>
    <row r="343" spans="1:9" x14ac:dyDescent="0.45">
      <c r="A343" s="89">
        <v>10.9</v>
      </c>
      <c r="B343" s="89">
        <v>58</v>
      </c>
      <c r="C343" s="89">
        <v>16.100000000000001</v>
      </c>
      <c r="D343" s="89">
        <v>1</v>
      </c>
      <c r="E343" s="16">
        <v>3322</v>
      </c>
      <c r="F343" s="90"/>
      <c r="G343" s="90"/>
      <c r="H343" s="90"/>
      <c r="I343" s="90"/>
    </row>
    <row r="344" spans="1:9" x14ac:dyDescent="0.45">
      <c r="A344" s="89">
        <v>11.9</v>
      </c>
      <c r="B344" s="89">
        <v>69.599999999999994</v>
      </c>
      <c r="C344" s="89">
        <v>5.5</v>
      </c>
      <c r="D344" s="89">
        <v>1</v>
      </c>
      <c r="E344" s="16">
        <v>3620</v>
      </c>
      <c r="F344" s="90"/>
      <c r="G344" s="90"/>
      <c r="H344" s="90"/>
      <c r="I344" s="90"/>
    </row>
    <row r="345" spans="1:9" x14ac:dyDescent="0.45">
      <c r="A345" s="89">
        <v>11.3</v>
      </c>
      <c r="B345" s="89">
        <v>50.7</v>
      </c>
      <c r="C345" s="89">
        <v>15.6</v>
      </c>
      <c r="D345" s="89">
        <v>1</v>
      </c>
      <c r="E345" s="16">
        <v>3190</v>
      </c>
      <c r="F345" s="90"/>
      <c r="G345" s="90"/>
      <c r="H345" s="90"/>
      <c r="I345" s="90"/>
    </row>
    <row r="346" spans="1:9" x14ac:dyDescent="0.45">
      <c r="A346" s="89">
        <v>9.1</v>
      </c>
      <c r="B346" s="89">
        <v>49</v>
      </c>
      <c r="C346" s="89">
        <v>4.5</v>
      </c>
      <c r="D346" s="89">
        <v>1</v>
      </c>
      <c r="E346" s="16">
        <v>2743</v>
      </c>
      <c r="F346" s="90"/>
      <c r="G346" s="90"/>
      <c r="H346" s="90"/>
      <c r="I346" s="90"/>
    </row>
    <row r="347" spans="1:9" x14ac:dyDescent="0.45">
      <c r="A347" s="89">
        <v>9.8000000000000007</v>
      </c>
      <c r="B347" s="89">
        <v>67.099999999999994</v>
      </c>
      <c r="C347" s="89">
        <v>4.3</v>
      </c>
      <c r="D347" s="89">
        <v>1</v>
      </c>
      <c r="E347" s="16">
        <v>3310</v>
      </c>
      <c r="F347" s="90"/>
      <c r="G347" s="90"/>
      <c r="H347" s="90"/>
      <c r="I347" s="90"/>
    </row>
    <row r="348" spans="1:9" x14ac:dyDescent="0.45">
      <c r="A348" s="89">
        <v>11.6</v>
      </c>
      <c r="B348" s="89">
        <v>59</v>
      </c>
      <c r="C348" s="89">
        <v>9.4</v>
      </c>
      <c r="D348" s="89">
        <v>1</v>
      </c>
      <c r="E348" s="16">
        <v>3523</v>
      </c>
      <c r="F348" s="90"/>
      <c r="G348" s="90"/>
      <c r="H348" s="90"/>
      <c r="I348" s="90"/>
    </row>
    <row r="349" spans="1:9" x14ac:dyDescent="0.45">
      <c r="A349" s="89">
        <v>13</v>
      </c>
      <c r="B349" s="89">
        <v>66.400000000000006</v>
      </c>
      <c r="C349" s="89">
        <v>4.0999999999999996</v>
      </c>
      <c r="D349" s="89">
        <v>2</v>
      </c>
      <c r="E349" s="16">
        <v>3740</v>
      </c>
      <c r="F349" s="90"/>
      <c r="G349" s="90"/>
      <c r="H349" s="90"/>
      <c r="I349" s="90"/>
    </row>
    <row r="350" spans="1:9" x14ac:dyDescent="0.45">
      <c r="A350" s="89">
        <v>17.3</v>
      </c>
      <c r="B350" s="89">
        <v>63.4</v>
      </c>
      <c r="C350" s="89">
        <v>18</v>
      </c>
      <c r="D350" s="89">
        <v>2</v>
      </c>
      <c r="E350" s="16">
        <v>3709</v>
      </c>
      <c r="F350" s="90"/>
      <c r="G350" s="90"/>
      <c r="H350" s="90"/>
      <c r="I350" s="90"/>
    </row>
    <row r="351" spans="1:9" x14ac:dyDescent="0.45">
      <c r="A351" s="89">
        <v>15.4</v>
      </c>
      <c r="B351" s="89">
        <v>50</v>
      </c>
      <c r="C351" s="89">
        <v>17.5</v>
      </c>
      <c r="D351" s="89">
        <v>2</v>
      </c>
      <c r="E351" s="16">
        <v>3577</v>
      </c>
      <c r="F351" s="90"/>
      <c r="G351" s="90"/>
      <c r="H351" s="90"/>
      <c r="I351" s="90"/>
    </row>
    <row r="352" spans="1:9" x14ac:dyDescent="0.45">
      <c r="A352" s="89">
        <v>10.6</v>
      </c>
      <c r="B352" s="89">
        <v>56.1</v>
      </c>
      <c r="C352" s="89">
        <v>16.3</v>
      </c>
      <c r="D352" s="89">
        <v>2</v>
      </c>
      <c r="E352" s="16">
        <v>2739</v>
      </c>
      <c r="F352" s="90"/>
      <c r="G352" s="90"/>
      <c r="H352" s="90"/>
      <c r="I352" s="90"/>
    </row>
    <row r="353" spans="1:9" x14ac:dyDescent="0.45">
      <c r="A353" s="89">
        <v>9.8000000000000007</v>
      </c>
      <c r="B353" s="89">
        <v>58.6</v>
      </c>
      <c r="C353" s="89">
        <v>11.4</v>
      </c>
      <c r="D353" s="89">
        <v>1</v>
      </c>
      <c r="E353" s="16">
        <v>2431</v>
      </c>
      <c r="F353" s="90"/>
      <c r="G353" s="90"/>
      <c r="H353" s="90"/>
      <c r="I353" s="90"/>
    </row>
    <row r="354" spans="1:9" x14ac:dyDescent="0.45">
      <c r="A354" s="89">
        <v>11.3</v>
      </c>
      <c r="B354" s="89">
        <v>63.7</v>
      </c>
      <c r="C354" s="89">
        <v>11.6</v>
      </c>
      <c r="D354" s="89">
        <v>1</v>
      </c>
      <c r="E354" s="16">
        <v>3403</v>
      </c>
      <c r="F354" s="90"/>
      <c r="G354" s="90"/>
      <c r="H354" s="90"/>
      <c r="I354" s="90"/>
    </row>
    <row r="355" spans="1:9" x14ac:dyDescent="0.45">
      <c r="A355" s="89">
        <v>15.8</v>
      </c>
      <c r="B355" s="89">
        <v>59.5</v>
      </c>
      <c r="C355" s="89">
        <v>4.0999999999999996</v>
      </c>
      <c r="D355" s="89">
        <v>2</v>
      </c>
      <c r="E355" s="16">
        <v>3750</v>
      </c>
      <c r="F355" s="90"/>
      <c r="G355" s="90"/>
      <c r="H355" s="90"/>
      <c r="I355" s="90"/>
    </row>
    <row r="356" spans="1:9" x14ac:dyDescent="0.45">
      <c r="A356" s="89">
        <v>17.600000000000001</v>
      </c>
      <c r="B356" s="89">
        <v>85.8</v>
      </c>
      <c r="C356" s="89">
        <v>14.8</v>
      </c>
      <c r="D356" s="89">
        <v>2</v>
      </c>
      <c r="E356" s="16">
        <v>2660</v>
      </c>
      <c r="F356" s="90"/>
      <c r="G356" s="90"/>
      <c r="H356" s="90"/>
      <c r="I356" s="90"/>
    </row>
    <row r="357" spans="1:9" x14ac:dyDescent="0.45">
      <c r="A357" s="89">
        <v>17.399999999999999</v>
      </c>
      <c r="B357" s="89">
        <v>75.8</v>
      </c>
      <c r="C357" s="89">
        <v>3.2</v>
      </c>
      <c r="D357" s="89">
        <v>2</v>
      </c>
      <c r="E357" s="16">
        <v>3068</v>
      </c>
      <c r="F357" s="90"/>
      <c r="G357" s="90"/>
      <c r="H357" s="90"/>
      <c r="I357" s="90"/>
    </row>
    <row r="358" spans="1:9" x14ac:dyDescent="0.45">
      <c r="A358" s="89">
        <v>15.3</v>
      </c>
      <c r="B358" s="89">
        <v>68.599999999999994</v>
      </c>
      <c r="C358" s="89">
        <v>18.399999999999999</v>
      </c>
      <c r="D358" s="89">
        <v>1</v>
      </c>
      <c r="E358" s="16">
        <v>2209</v>
      </c>
      <c r="F358" s="90"/>
      <c r="G358" s="90"/>
      <c r="H358" s="90"/>
      <c r="I358" s="90"/>
    </row>
    <row r="359" spans="1:9" x14ac:dyDescent="0.45">
      <c r="A359" s="89">
        <v>12.4</v>
      </c>
      <c r="B359" s="89">
        <v>54.2</v>
      </c>
      <c r="C359" s="89">
        <v>12.8</v>
      </c>
      <c r="D359" s="89">
        <v>1</v>
      </c>
      <c r="E359" s="16">
        <v>1011</v>
      </c>
      <c r="F359" s="90"/>
      <c r="G359" s="90"/>
      <c r="H359" s="90"/>
      <c r="I359" s="90"/>
    </row>
    <row r="360" spans="1:9" x14ac:dyDescent="0.45">
      <c r="A360" s="89">
        <v>11.3</v>
      </c>
      <c r="B360" s="89">
        <v>68.099999999999994</v>
      </c>
      <c r="C360" s="89">
        <v>10.4</v>
      </c>
      <c r="D360" s="89">
        <v>1</v>
      </c>
      <c r="E360" s="16">
        <v>754</v>
      </c>
      <c r="F360" s="90"/>
      <c r="G360" s="90"/>
      <c r="H360" s="90"/>
      <c r="I360" s="90"/>
    </row>
    <row r="361" spans="1:9" x14ac:dyDescent="0.45">
      <c r="A361" s="89">
        <v>13.2</v>
      </c>
      <c r="B361" s="89">
        <v>50.7</v>
      </c>
      <c r="C361" s="89">
        <v>16</v>
      </c>
      <c r="D361" s="89">
        <v>1</v>
      </c>
      <c r="E361" s="16">
        <v>1317</v>
      </c>
      <c r="F361" s="90"/>
      <c r="G361" s="90"/>
      <c r="H361" s="90"/>
      <c r="I361" s="90"/>
    </row>
    <row r="362" spans="1:9" x14ac:dyDescent="0.45">
      <c r="A362" s="89">
        <v>13.3</v>
      </c>
      <c r="B362" s="89">
        <v>76.2</v>
      </c>
      <c r="C362" s="89">
        <v>12.6</v>
      </c>
      <c r="D362" s="89">
        <v>2</v>
      </c>
      <c r="E362" s="16">
        <v>1162</v>
      </c>
      <c r="F362" s="90"/>
      <c r="G362" s="90"/>
      <c r="H362" s="90"/>
      <c r="I362" s="90"/>
    </row>
    <row r="363" spans="1:9" x14ac:dyDescent="0.45">
      <c r="A363" s="89">
        <v>12.3</v>
      </c>
      <c r="B363" s="89">
        <v>50.4</v>
      </c>
      <c r="C363" s="89">
        <v>19.7</v>
      </c>
      <c r="D363" s="89">
        <v>1</v>
      </c>
      <c r="E363" s="16">
        <v>2302</v>
      </c>
      <c r="F363" s="90"/>
      <c r="G363" s="90"/>
      <c r="H363" s="90"/>
      <c r="I363" s="90"/>
    </row>
    <row r="364" spans="1:9" x14ac:dyDescent="0.45">
      <c r="A364" s="89">
        <v>10.199999999999999</v>
      </c>
      <c r="B364" s="89">
        <v>57.4</v>
      </c>
      <c r="C364" s="89">
        <v>8</v>
      </c>
      <c r="D364" s="89">
        <v>1</v>
      </c>
      <c r="E364" s="16">
        <v>2423</v>
      </c>
      <c r="F364" s="90"/>
      <c r="G364" s="90"/>
      <c r="H364" s="90"/>
      <c r="I364" s="90"/>
    </row>
    <row r="365" spans="1:9" x14ac:dyDescent="0.45">
      <c r="A365" s="89">
        <v>12.8</v>
      </c>
      <c r="B365" s="89">
        <v>63.7</v>
      </c>
      <c r="C365" s="89">
        <v>9</v>
      </c>
      <c r="D365" s="89">
        <v>1</v>
      </c>
      <c r="E365" s="16">
        <v>2999</v>
      </c>
      <c r="F365" s="90"/>
      <c r="G365" s="90"/>
      <c r="H365" s="90"/>
      <c r="I365" s="90"/>
    </row>
    <row r="366" spans="1:9" x14ac:dyDescent="0.45">
      <c r="A366" s="89">
        <v>16.8</v>
      </c>
      <c r="B366" s="89">
        <v>61.6</v>
      </c>
      <c r="C366" s="89">
        <v>14.8</v>
      </c>
      <c r="D366" s="89">
        <v>1</v>
      </c>
      <c r="E366" s="16">
        <v>2485</v>
      </c>
      <c r="F366" s="90"/>
      <c r="G366" s="90"/>
      <c r="H366" s="90"/>
      <c r="I366" s="90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98"/>
    <col min="4" max="4" width="11.33203125" style="98" bestFit="1" customWidth="1"/>
    <col min="5" max="6" width="28.33203125" style="98" customWidth="1"/>
    <col min="7" max="7" width="9.796875" style="98" bestFit="1" customWidth="1"/>
    <col min="8" max="16384" width="9.06640625" style="98"/>
  </cols>
  <sheetData>
    <row r="1" spans="1:7" x14ac:dyDescent="0.45">
      <c r="A1" s="98" t="s">
        <v>284</v>
      </c>
      <c r="B1" s="98" t="s">
        <v>283</v>
      </c>
      <c r="D1" s="99" t="s">
        <v>282</v>
      </c>
      <c r="E1" s="99" t="s">
        <v>281</v>
      </c>
      <c r="F1" s="99" t="s">
        <v>280</v>
      </c>
      <c r="G1" s="99" t="s">
        <v>279</v>
      </c>
    </row>
    <row r="2" spans="1:7" x14ac:dyDescent="0.45">
      <c r="A2" s="98">
        <v>1</v>
      </c>
      <c r="B2" s="98">
        <v>52</v>
      </c>
      <c r="D2" s="98" t="s">
        <v>278</v>
      </c>
      <c r="E2" s="98" t="s">
        <v>277</v>
      </c>
      <c r="F2" s="98" t="s">
        <v>276</v>
      </c>
    </row>
    <row r="3" spans="1:7" x14ac:dyDescent="0.45">
      <c r="A3" s="98">
        <v>2</v>
      </c>
      <c r="B3" s="98">
        <v>55</v>
      </c>
      <c r="D3" s="98" t="s">
        <v>275</v>
      </c>
      <c r="E3" s="98" t="s">
        <v>274</v>
      </c>
      <c r="F3" s="98" t="s">
        <v>273</v>
      </c>
    </row>
    <row r="4" spans="1:7" x14ac:dyDescent="0.45">
      <c r="A4" s="98">
        <v>3</v>
      </c>
      <c r="B4" s="98">
        <v>61</v>
      </c>
      <c r="D4" s="98" t="s">
        <v>272</v>
      </c>
    </row>
    <row r="5" spans="1:7" x14ac:dyDescent="0.45">
      <c r="A5" s="98">
        <v>4</v>
      </c>
      <c r="B5" s="98">
        <v>64</v>
      </c>
    </row>
    <row r="6" spans="1:7" x14ac:dyDescent="0.45">
      <c r="A6" s="98">
        <v>5</v>
      </c>
      <c r="B6" s="98">
        <v>68</v>
      </c>
      <c r="D6" s="98" t="s">
        <v>271</v>
      </c>
      <c r="E6" s="98" t="s">
        <v>270</v>
      </c>
      <c r="F6" s="98" t="s">
        <v>269</v>
      </c>
    </row>
    <row r="7" spans="1:7" x14ac:dyDescent="0.45">
      <c r="D7" s="98" t="s">
        <v>268</v>
      </c>
      <c r="F7" s="98" t="s">
        <v>267</v>
      </c>
    </row>
    <row r="8" spans="1:7" x14ac:dyDescent="0.45">
      <c r="D8" s="98" t="s">
        <v>266</v>
      </c>
      <c r="F8" s="98" t="s">
        <v>265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00"/>
  </cols>
  <sheetData>
    <row r="1" spans="1:6" x14ac:dyDescent="0.45">
      <c r="A1" s="100" t="s">
        <v>291</v>
      </c>
      <c r="B1" s="100" t="s">
        <v>8</v>
      </c>
      <c r="C1" s="100" t="s">
        <v>72</v>
      </c>
      <c r="D1" s="100" t="s">
        <v>301</v>
      </c>
      <c r="E1" s="100" t="s">
        <v>290</v>
      </c>
    </row>
    <row r="2" spans="1:6" x14ac:dyDescent="0.45">
      <c r="A2" s="100" t="s">
        <v>43</v>
      </c>
      <c r="B2" s="100">
        <v>25</v>
      </c>
      <c r="C2" s="115">
        <v>3000</v>
      </c>
      <c r="D2" s="115">
        <v>500</v>
      </c>
      <c r="E2" s="100" t="s">
        <v>292</v>
      </c>
    </row>
    <row r="3" spans="1:6" x14ac:dyDescent="0.45">
      <c r="A3" s="100" t="s">
        <v>300</v>
      </c>
      <c r="B3" s="100">
        <v>30</v>
      </c>
      <c r="C3" s="115">
        <v>4000</v>
      </c>
      <c r="D3" s="115">
        <v>1000</v>
      </c>
      <c r="E3" s="100" t="s">
        <v>292</v>
      </c>
    </row>
    <row r="4" spans="1:6" x14ac:dyDescent="0.45">
      <c r="A4" s="100" t="s">
        <v>299</v>
      </c>
      <c r="B4" s="100">
        <v>35</v>
      </c>
      <c r="C4" s="115">
        <v>6000</v>
      </c>
      <c r="D4" s="115">
        <v>1500</v>
      </c>
      <c r="E4" s="100" t="s">
        <v>294</v>
      </c>
    </row>
    <row r="5" spans="1:6" x14ac:dyDescent="0.45">
      <c r="A5" s="100" t="s">
        <v>298</v>
      </c>
      <c r="B5" s="100">
        <v>40</v>
      </c>
      <c r="C5" s="115">
        <v>7000</v>
      </c>
      <c r="D5" s="115">
        <v>2000</v>
      </c>
      <c r="E5" s="100" t="s">
        <v>294</v>
      </c>
    </row>
    <row r="6" spans="1:6" x14ac:dyDescent="0.45">
      <c r="A6" s="100" t="s">
        <v>297</v>
      </c>
      <c r="B6" s="100">
        <v>28</v>
      </c>
      <c r="C6" s="115">
        <v>3500</v>
      </c>
      <c r="D6" s="115">
        <v>800</v>
      </c>
      <c r="E6" s="100" t="s">
        <v>292</v>
      </c>
    </row>
    <row r="7" spans="1:6" x14ac:dyDescent="0.45">
      <c r="A7" s="100" t="s">
        <v>296</v>
      </c>
      <c r="B7" s="100">
        <v>42</v>
      </c>
      <c r="C7" s="115">
        <v>8000</v>
      </c>
      <c r="D7" s="115">
        <v>2200</v>
      </c>
      <c r="E7" s="100" t="s">
        <v>294</v>
      </c>
    </row>
    <row r="8" spans="1:6" x14ac:dyDescent="0.45">
      <c r="A8" s="100" t="s">
        <v>295</v>
      </c>
      <c r="B8" s="100">
        <v>50</v>
      </c>
      <c r="C8" s="115">
        <v>9000</v>
      </c>
      <c r="D8" s="115">
        <v>2500</v>
      </c>
      <c r="E8" s="100" t="s">
        <v>294</v>
      </c>
    </row>
    <row r="9" spans="1:6" x14ac:dyDescent="0.45">
      <c r="A9" s="100" t="s">
        <v>293</v>
      </c>
      <c r="B9" s="100">
        <v>23</v>
      </c>
      <c r="C9" s="115">
        <v>2800</v>
      </c>
      <c r="D9" s="115">
        <v>400</v>
      </c>
      <c r="E9" s="100" t="s">
        <v>292</v>
      </c>
    </row>
    <row r="10" spans="1:6" ht="14.65" thickBot="1" x14ac:dyDescent="0.5"/>
    <row r="11" spans="1:6" ht="14.65" thickBot="1" x14ac:dyDescent="0.5">
      <c r="A11" s="114"/>
      <c r="B11" s="113"/>
      <c r="C11" s="113"/>
      <c r="D11" s="112"/>
    </row>
    <row r="12" spans="1:6" ht="14.65" thickBot="1" x14ac:dyDescent="0.5"/>
    <row r="13" spans="1:6" x14ac:dyDescent="0.45">
      <c r="A13" s="111" t="s">
        <v>216</v>
      </c>
      <c r="B13" s="110" t="s">
        <v>291</v>
      </c>
      <c r="C13" s="109" t="s">
        <v>290</v>
      </c>
      <c r="E13" s="148" t="s">
        <v>289</v>
      </c>
      <c r="F13" s="149"/>
    </row>
    <row r="14" spans="1:6" x14ac:dyDescent="0.45">
      <c r="A14" s="106"/>
      <c r="B14" s="105"/>
      <c r="C14" s="104"/>
      <c r="E14" s="108" t="s">
        <v>288</v>
      </c>
      <c r="F14" s="107" t="s">
        <v>287</v>
      </c>
    </row>
    <row r="15" spans="1:6" ht="14.65" thickBot="1" x14ac:dyDescent="0.5">
      <c r="A15" s="106"/>
      <c r="B15" s="105"/>
      <c r="C15" s="104"/>
      <c r="E15" s="103"/>
      <c r="F15" s="101"/>
    </row>
    <row r="16" spans="1:6" ht="14.65" thickBot="1" x14ac:dyDescent="0.5">
      <c r="A16" s="106"/>
      <c r="B16" s="105"/>
      <c r="C16" s="104"/>
    </row>
    <row r="17" spans="1:6" x14ac:dyDescent="0.45">
      <c r="A17" s="106"/>
      <c r="B17" s="105"/>
      <c r="C17" s="104"/>
      <c r="E17" s="150" t="s">
        <v>286</v>
      </c>
      <c r="F17" s="151"/>
    </row>
    <row r="18" spans="1:6" ht="14.65" thickBot="1" x14ac:dyDescent="0.5">
      <c r="A18" s="103"/>
      <c r="B18" s="102"/>
      <c r="C18" s="101"/>
      <c r="E18" s="152"/>
      <c r="F18" s="153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906B0-3870-4126-BA05-6D366852F9BC}">
  <dimension ref="A1:H29"/>
  <sheetViews>
    <sheetView zoomScale="85" zoomScaleNormal="85" workbookViewId="0">
      <pane ySplit="4" topLeftCell="A5" activePane="bottomLeft" state="frozen"/>
      <selection pane="bottomLeft"/>
    </sheetView>
  </sheetViews>
  <sheetFormatPr defaultColWidth="8.6640625" defaultRowHeight="14.25" x14ac:dyDescent="0.45"/>
  <cols>
    <col min="1" max="1" width="30" style="158" customWidth="1"/>
    <col min="2" max="2" width="26" style="158" customWidth="1"/>
    <col min="3" max="3" width="24" style="158" customWidth="1"/>
    <col min="4" max="4" width="30" style="158" customWidth="1"/>
    <col min="5" max="5" width="14" style="158" customWidth="1"/>
    <col min="6" max="6" width="18" style="158" customWidth="1"/>
    <col min="7" max="7" width="42" style="158" customWidth="1"/>
    <col min="8" max="8" width="70" style="158" customWidth="1"/>
    <col min="9" max="16384" width="8.6640625" style="158"/>
  </cols>
  <sheetData>
    <row r="1" spans="1:8" ht="17.649999999999999" x14ac:dyDescent="0.45">
      <c r="A1" s="157" t="s">
        <v>305</v>
      </c>
    </row>
    <row r="2" spans="1:8" x14ac:dyDescent="0.45">
      <c r="A2" s="159" t="s">
        <v>306</v>
      </c>
    </row>
    <row r="4" spans="1:8" ht="27.75" x14ac:dyDescent="0.45">
      <c r="A4" s="160" t="s">
        <v>307</v>
      </c>
      <c r="C4" s="161">
        <v>0.5</v>
      </c>
    </row>
    <row r="6" spans="1:8" ht="15" x14ac:dyDescent="0.45">
      <c r="A6" s="162" t="s">
        <v>308</v>
      </c>
    </row>
    <row r="7" spans="1:8" x14ac:dyDescent="0.45">
      <c r="B7" s="163" t="s">
        <v>309</v>
      </c>
      <c r="C7" s="163" t="s">
        <v>310</v>
      </c>
      <c r="D7" s="163" t="s">
        <v>311</v>
      </c>
      <c r="F7" s="164" t="s">
        <v>312</v>
      </c>
      <c r="G7" s="164" t="s">
        <v>313</v>
      </c>
    </row>
    <row r="8" spans="1:8" x14ac:dyDescent="0.45">
      <c r="A8" s="164" t="s">
        <v>314</v>
      </c>
      <c r="B8" s="165">
        <f>COUNTIFS([1]Data!$B:$B,1,[1]Data!$C:$C,"&gt;="&amp;$C$4)</f>
        <v>8</v>
      </c>
      <c r="C8" s="166">
        <f>COUNTIFS([1]Data!$B:$B,1,[1]Data!$C:$C,"&lt;"&amp;$C$4)</f>
        <v>2</v>
      </c>
      <c r="D8" s="167">
        <f>B8+C8</f>
        <v>10</v>
      </c>
      <c r="F8" s="160" t="s">
        <v>315</v>
      </c>
      <c r="G8" s="168" t="s">
        <v>316</v>
      </c>
    </row>
    <row r="9" spans="1:8" ht="27" x14ac:dyDescent="0.45">
      <c r="A9" s="164" t="s">
        <v>317</v>
      </c>
      <c r="B9" s="166">
        <f>COUNTIFS([1]Data!$B:$B,0,[1]Data!$C:$C,"&gt;="&amp;$C$4)</f>
        <v>40</v>
      </c>
      <c r="C9" s="165">
        <f>COUNTIFS([1]Data!$B:$B,0,[1]Data!$C:$C,"&lt;"&amp;$C$4)</f>
        <v>950</v>
      </c>
      <c r="D9" s="167">
        <f>B9+C9</f>
        <v>990</v>
      </c>
      <c r="F9" s="160" t="s">
        <v>318</v>
      </c>
      <c r="G9" s="168" t="s">
        <v>319</v>
      </c>
    </row>
    <row r="10" spans="1:8" x14ac:dyDescent="0.45">
      <c r="A10" s="164" t="s">
        <v>311</v>
      </c>
      <c r="B10" s="167">
        <f>B8+B9</f>
        <v>48</v>
      </c>
      <c r="C10" s="167">
        <f>C8+C9</f>
        <v>952</v>
      </c>
      <c r="D10" s="167">
        <f>D8+D9</f>
        <v>1000</v>
      </c>
      <c r="F10" s="160" t="s">
        <v>320</v>
      </c>
      <c r="G10" s="168" t="s">
        <v>321</v>
      </c>
    </row>
    <row r="11" spans="1:8" x14ac:dyDescent="0.45">
      <c r="F11" s="160" t="s">
        <v>322</v>
      </c>
      <c r="G11" s="168" t="s">
        <v>323</v>
      </c>
    </row>
    <row r="13" spans="1:8" ht="15" x14ac:dyDescent="0.45">
      <c r="A13" s="162" t="s">
        <v>324</v>
      </c>
    </row>
    <row r="14" spans="1:8" x14ac:dyDescent="0.45">
      <c r="A14" s="163" t="s">
        <v>325</v>
      </c>
      <c r="B14" s="163" t="s">
        <v>326</v>
      </c>
      <c r="C14" s="163" t="s">
        <v>327</v>
      </c>
      <c r="D14" s="163" t="s">
        <v>280</v>
      </c>
      <c r="E14" s="163" t="s">
        <v>279</v>
      </c>
      <c r="F14" s="163" t="s">
        <v>172</v>
      </c>
      <c r="G14" s="163" t="s">
        <v>328</v>
      </c>
      <c r="H14" s="163" t="s">
        <v>329</v>
      </c>
    </row>
    <row r="15" spans="1:8" ht="48" customHeight="1" x14ac:dyDescent="0.45">
      <c r="A15" s="169" t="s">
        <v>330</v>
      </c>
      <c r="B15" s="160" t="s">
        <v>331</v>
      </c>
      <c r="C15" s="168" t="s">
        <v>332</v>
      </c>
      <c r="D15" s="168" t="s">
        <v>333</v>
      </c>
      <c r="E15" s="170">
        <f>(B8+C9)/D10</f>
        <v>0.95799999999999996</v>
      </c>
      <c r="F15" s="169" t="s">
        <v>334</v>
      </c>
      <c r="G15" s="171" t="s">
        <v>335</v>
      </c>
      <c r="H15" s="168" t="s">
        <v>336</v>
      </c>
    </row>
    <row r="16" spans="1:8" ht="48" customHeight="1" x14ac:dyDescent="0.45">
      <c r="A16" s="169" t="s">
        <v>337</v>
      </c>
      <c r="B16" s="160" t="s">
        <v>338</v>
      </c>
      <c r="C16" s="168" t="s">
        <v>339</v>
      </c>
      <c r="D16" s="168" t="s">
        <v>340</v>
      </c>
      <c r="E16" s="170">
        <f>IFERROR(B8/(B8+B9),0)</f>
        <v>0.16666666666666666</v>
      </c>
      <c r="F16" s="169" t="s">
        <v>334</v>
      </c>
      <c r="G16" s="171" t="s">
        <v>335</v>
      </c>
      <c r="H16" s="168" t="s">
        <v>341</v>
      </c>
    </row>
    <row r="17" spans="1:8" ht="48" customHeight="1" x14ac:dyDescent="0.45">
      <c r="A17" s="169" t="s">
        <v>342</v>
      </c>
      <c r="B17" s="160" t="s">
        <v>343</v>
      </c>
      <c r="C17" s="168" t="s">
        <v>344</v>
      </c>
      <c r="D17" s="168" t="s">
        <v>345</v>
      </c>
      <c r="E17" s="170">
        <f>IFERROR(B8/(B8+C8),0)</f>
        <v>0.8</v>
      </c>
      <c r="F17" s="169" t="s">
        <v>334</v>
      </c>
      <c r="G17" s="171" t="s">
        <v>335</v>
      </c>
      <c r="H17" s="168" t="s">
        <v>346</v>
      </c>
    </row>
    <row r="18" spans="1:8" ht="48" customHeight="1" x14ac:dyDescent="0.45">
      <c r="A18" s="169" t="s">
        <v>347</v>
      </c>
      <c r="B18" s="160" t="s">
        <v>348</v>
      </c>
      <c r="C18" s="168" t="s">
        <v>349</v>
      </c>
      <c r="D18" s="168" t="s">
        <v>350</v>
      </c>
      <c r="E18" s="170">
        <f>IFERROR(2*E16*E17/(E16+E17),0)</f>
        <v>0.27586206896551724</v>
      </c>
      <c r="F18" s="169" t="s">
        <v>334</v>
      </c>
      <c r="G18" s="171" t="s">
        <v>335</v>
      </c>
      <c r="H18" s="168" t="s">
        <v>351</v>
      </c>
    </row>
    <row r="19" spans="1:8" ht="48" customHeight="1" x14ac:dyDescent="0.45">
      <c r="A19" s="169" t="s">
        <v>352</v>
      </c>
      <c r="B19" s="160" t="s">
        <v>353</v>
      </c>
      <c r="C19" s="168" t="s">
        <v>354</v>
      </c>
      <c r="D19" s="168" t="s">
        <v>355</v>
      </c>
      <c r="E19" s="170">
        <f>IFERROR(C9/(C9+B9),0)</f>
        <v>0.95959595959595956</v>
      </c>
      <c r="F19" s="169" t="s">
        <v>334</v>
      </c>
      <c r="G19" s="171" t="s">
        <v>335</v>
      </c>
      <c r="H19" s="168" t="s">
        <v>356</v>
      </c>
    </row>
    <row r="20" spans="1:8" ht="48" customHeight="1" x14ac:dyDescent="0.45">
      <c r="A20" s="169" t="s">
        <v>357</v>
      </c>
      <c r="B20" s="160" t="s">
        <v>358</v>
      </c>
      <c r="C20" s="168" t="s">
        <v>359</v>
      </c>
      <c r="D20" s="168" t="s">
        <v>360</v>
      </c>
      <c r="E20" s="170">
        <f>(B9+C8)/D10</f>
        <v>4.2000000000000003E-2</v>
      </c>
      <c r="F20" s="169" t="s">
        <v>334</v>
      </c>
      <c r="G20" s="172" t="s">
        <v>361</v>
      </c>
      <c r="H20" s="168" t="s">
        <v>362</v>
      </c>
    </row>
    <row r="21" spans="1:8" ht="48" customHeight="1" x14ac:dyDescent="0.45">
      <c r="A21" s="169" t="s">
        <v>363</v>
      </c>
      <c r="B21" s="160" t="s">
        <v>364</v>
      </c>
      <c r="C21" s="168" t="s">
        <v>365</v>
      </c>
      <c r="D21" s="168" t="s">
        <v>366</v>
      </c>
      <c r="E21" s="170">
        <f>IFERROR(C8/(B8+C8),0)</f>
        <v>0.2</v>
      </c>
      <c r="F21" s="169" t="s">
        <v>334</v>
      </c>
      <c r="G21" s="172" t="s">
        <v>361</v>
      </c>
      <c r="H21" s="168" t="s">
        <v>367</v>
      </c>
    </row>
    <row r="22" spans="1:8" ht="48" customHeight="1" x14ac:dyDescent="0.45">
      <c r="A22" s="169" t="s">
        <v>368</v>
      </c>
      <c r="B22" s="160" t="s">
        <v>369</v>
      </c>
      <c r="C22" s="168" t="s">
        <v>370</v>
      </c>
      <c r="D22" s="168" t="s">
        <v>371</v>
      </c>
      <c r="E22" s="170">
        <f>IFERROR(B9/(B9+C9),0)</f>
        <v>4.0404040404040407E-2</v>
      </c>
      <c r="F22" s="169" t="s">
        <v>334</v>
      </c>
      <c r="G22" s="172" t="s">
        <v>361</v>
      </c>
      <c r="H22" s="168" t="s">
        <v>372</v>
      </c>
    </row>
    <row r="23" spans="1:8" ht="48" customHeight="1" x14ac:dyDescent="0.45">
      <c r="A23" s="169" t="s">
        <v>373</v>
      </c>
      <c r="B23" s="160" t="s">
        <v>374</v>
      </c>
      <c r="C23" s="168" t="s">
        <v>375</v>
      </c>
      <c r="D23" s="168" t="s">
        <v>376</v>
      </c>
      <c r="E23" s="173">
        <f>[1]ROC!$H$4</f>
        <v>0.94676767676767681</v>
      </c>
      <c r="F23" s="169" t="s">
        <v>377</v>
      </c>
      <c r="G23" s="171" t="s">
        <v>335</v>
      </c>
      <c r="H23" s="168" t="s">
        <v>378</v>
      </c>
    </row>
    <row r="25" spans="1:8" ht="15" x14ac:dyDescent="0.45">
      <c r="A25" s="162" t="s">
        <v>379</v>
      </c>
    </row>
    <row r="26" spans="1:8" x14ac:dyDescent="0.45">
      <c r="A26" s="174" t="s">
        <v>380</v>
      </c>
    </row>
    <row r="27" spans="1:8" x14ac:dyDescent="0.45">
      <c r="A27" s="174" t="s">
        <v>381</v>
      </c>
    </row>
    <row r="28" spans="1:8" x14ac:dyDescent="0.45">
      <c r="A28" s="174" t="s">
        <v>382</v>
      </c>
    </row>
    <row r="29" spans="1:8" x14ac:dyDescent="0.45">
      <c r="A29" s="174" t="s">
        <v>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246</v>
      </c>
      <c r="B1" s="56" t="s">
        <v>70</v>
      </c>
      <c r="E1" s="154" t="s">
        <v>218</v>
      </c>
      <c r="F1" s="154"/>
      <c r="G1" s="154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124" t="s">
        <v>221</v>
      </c>
      <c r="E8" s="126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125" t="s">
        <v>222</v>
      </c>
      <c r="E9" s="120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69" t="s">
        <v>70</v>
      </c>
      <c r="D1" s="72" t="s">
        <v>227</v>
      </c>
      <c r="E1" s="73" t="s">
        <v>228</v>
      </c>
      <c r="G1" s="8" t="s">
        <v>218</v>
      </c>
      <c r="H1" s="9" t="s">
        <v>219</v>
      </c>
      <c r="I1" s="69" t="s">
        <v>187</v>
      </c>
    </row>
    <row r="2" spans="1:9" ht="14.65" thickBot="1" x14ac:dyDescent="0.5">
      <c r="A2" s="58"/>
      <c r="B2" s="20"/>
      <c r="D2" s="12"/>
      <c r="E2" s="14"/>
      <c r="G2" s="58"/>
      <c r="H2" s="68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68"/>
      <c r="I3" s="20"/>
    </row>
    <row r="4" spans="1:9" x14ac:dyDescent="0.45">
      <c r="A4" s="58"/>
      <c r="B4" s="20"/>
      <c r="D4" s="70" t="s">
        <v>225</v>
      </c>
      <c r="E4" s="71" t="s">
        <v>226</v>
      </c>
      <c r="G4" s="58"/>
      <c r="H4" s="68"/>
      <c r="I4" s="20"/>
    </row>
    <row r="5" spans="1:9" ht="14.65" thickBot="1" x14ac:dyDescent="0.5">
      <c r="A5" s="12"/>
      <c r="B5" s="14"/>
      <c r="D5" s="12"/>
      <c r="E5" s="14"/>
      <c r="G5" s="58"/>
      <c r="H5" s="68"/>
      <c r="I5" s="20"/>
    </row>
    <row r="6" spans="1:9" x14ac:dyDescent="0.45">
      <c r="G6" s="58"/>
      <c r="H6" s="68"/>
      <c r="I6" s="20"/>
    </row>
    <row r="7" spans="1:9" ht="14.65" thickBot="1" x14ac:dyDescent="0.5">
      <c r="G7" s="58"/>
      <c r="H7" s="68"/>
      <c r="I7" s="20"/>
    </row>
    <row r="8" spans="1:9" x14ac:dyDescent="0.45">
      <c r="D8" s="74" t="s">
        <v>220</v>
      </c>
      <c r="E8" s="65"/>
      <c r="G8" s="58"/>
      <c r="H8" s="68"/>
      <c r="I8" s="20"/>
    </row>
    <row r="9" spans="1:9" x14ac:dyDescent="0.45">
      <c r="D9" s="75" t="s">
        <v>221</v>
      </c>
      <c r="E9" s="66"/>
      <c r="G9" s="58"/>
      <c r="H9" s="68"/>
      <c r="I9" s="20"/>
    </row>
    <row r="10" spans="1:9" ht="14.65" thickBot="1" x14ac:dyDescent="0.5">
      <c r="D10" s="76" t="s">
        <v>222</v>
      </c>
      <c r="E10" s="67"/>
      <c r="G10" s="12"/>
      <c r="H10" s="13"/>
      <c r="I10" s="14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" max="1" width="13.33203125" customWidth="1"/>
    <col min="8" max="8" width="13.33203125" customWidth="1"/>
    <col min="10" max="13" width="10.73046875" bestFit="1" customWidth="1"/>
  </cols>
  <sheetData>
    <row r="1" spans="1:13" x14ac:dyDescent="0.45">
      <c r="A1" s="155" t="s">
        <v>230</v>
      </c>
      <c r="B1" s="155"/>
      <c r="C1" s="155"/>
      <c r="D1" s="77"/>
      <c r="E1" s="156" t="s">
        <v>231</v>
      </c>
      <c r="F1" s="156"/>
      <c r="G1" s="156"/>
      <c r="H1" s="156"/>
      <c r="I1" s="77"/>
      <c r="J1" s="78"/>
      <c r="K1" s="78"/>
      <c r="L1" s="78"/>
      <c r="M1" s="78"/>
    </row>
    <row r="2" spans="1:13" ht="26.25" x14ac:dyDescent="0.45">
      <c r="A2" s="79" t="s">
        <v>232</v>
      </c>
      <c r="B2" s="79" t="s">
        <v>233</v>
      </c>
      <c r="C2" s="79" t="s">
        <v>234</v>
      </c>
      <c r="D2" s="77"/>
      <c r="E2" s="79" t="s">
        <v>232</v>
      </c>
      <c r="F2" s="79"/>
      <c r="G2" s="79"/>
      <c r="H2" s="79"/>
      <c r="I2" s="77"/>
      <c r="J2" s="79" t="s">
        <v>235</v>
      </c>
      <c r="K2" s="79" t="s">
        <v>236</v>
      </c>
      <c r="L2" s="79" t="s">
        <v>237</v>
      </c>
      <c r="M2" s="79" t="s">
        <v>238</v>
      </c>
    </row>
    <row r="3" spans="1:13" x14ac:dyDescent="0.45">
      <c r="A3" s="80">
        <v>1</v>
      </c>
      <c r="B3" s="81">
        <v>4.9000000000000004</v>
      </c>
      <c r="C3" s="81">
        <v>3</v>
      </c>
      <c r="D3" s="77"/>
      <c r="E3" s="80">
        <v>1</v>
      </c>
      <c r="F3" s="78"/>
      <c r="G3" s="78"/>
      <c r="H3" s="78"/>
      <c r="I3" s="77"/>
      <c r="J3" s="78"/>
      <c r="K3" s="78"/>
      <c r="L3" s="78"/>
      <c r="M3" s="78"/>
    </row>
    <row r="4" spans="1:13" x14ac:dyDescent="0.45">
      <c r="A4" s="80">
        <v>2</v>
      </c>
      <c r="B4" s="81">
        <v>5.0999999999999996</v>
      </c>
      <c r="C4" s="81">
        <v>3.5</v>
      </c>
      <c r="D4" s="77"/>
      <c r="E4" s="80">
        <v>2</v>
      </c>
      <c r="F4" s="78"/>
      <c r="G4" s="78"/>
      <c r="H4" s="78"/>
      <c r="I4" s="77"/>
      <c r="J4" s="78"/>
      <c r="K4" s="78"/>
      <c r="L4" s="78"/>
      <c r="M4" s="78"/>
    </row>
    <row r="5" spans="1:13" x14ac:dyDescent="0.45">
      <c r="A5" s="80">
        <v>3</v>
      </c>
      <c r="B5" s="81">
        <v>7</v>
      </c>
      <c r="C5" s="81">
        <v>3.2</v>
      </c>
      <c r="D5" s="77"/>
      <c r="E5" s="80">
        <v>3</v>
      </c>
      <c r="F5" s="78"/>
      <c r="G5" s="78"/>
      <c r="H5" s="78"/>
      <c r="I5" s="77"/>
      <c r="J5" s="78"/>
      <c r="K5" s="78"/>
      <c r="L5" s="78"/>
      <c r="M5" s="78"/>
    </row>
    <row r="6" spans="1:13" x14ac:dyDescent="0.45">
      <c r="A6" s="80">
        <v>4</v>
      </c>
      <c r="B6" s="81">
        <v>6.4</v>
      </c>
      <c r="C6" s="81">
        <v>3.2</v>
      </c>
      <c r="D6" s="77"/>
      <c r="E6" s="80">
        <v>4</v>
      </c>
      <c r="F6" s="78"/>
      <c r="G6" s="78"/>
      <c r="H6" s="78"/>
      <c r="I6" s="77"/>
      <c r="J6" s="78"/>
      <c r="K6" s="78"/>
      <c r="L6" s="78"/>
      <c r="M6" s="78"/>
    </row>
    <row r="7" spans="1:13" x14ac:dyDescent="0.45">
      <c r="A7" s="80">
        <v>5</v>
      </c>
      <c r="B7" s="81">
        <v>6.3</v>
      </c>
      <c r="C7" s="81">
        <v>3.3</v>
      </c>
      <c r="D7" s="77"/>
      <c r="E7" s="80">
        <v>5</v>
      </c>
      <c r="F7" s="78"/>
      <c r="G7" s="78"/>
      <c r="H7" s="78"/>
      <c r="I7" s="77"/>
      <c r="J7" s="78"/>
      <c r="K7" s="78"/>
      <c r="L7" s="78"/>
      <c r="M7" s="78"/>
    </row>
    <row r="8" spans="1:13" x14ac:dyDescent="0.45">
      <c r="A8" s="80">
        <v>6</v>
      </c>
      <c r="B8" s="81">
        <v>5.8</v>
      </c>
      <c r="C8" s="81">
        <v>2.7</v>
      </c>
      <c r="D8" s="77"/>
      <c r="E8" s="80">
        <v>6</v>
      </c>
      <c r="F8" s="78"/>
      <c r="G8" s="78"/>
      <c r="H8" s="78"/>
      <c r="I8" s="77"/>
      <c r="J8" s="78"/>
      <c r="K8" s="78"/>
      <c r="L8" s="78"/>
      <c r="M8" s="78"/>
    </row>
    <row r="9" spans="1:13" x14ac:dyDescent="0.45">
      <c r="A9" s="77"/>
      <c r="B9" s="77"/>
      <c r="C9" s="77"/>
      <c r="D9" s="77"/>
      <c r="E9" s="78"/>
      <c r="F9" s="78"/>
      <c r="G9" s="78"/>
      <c r="H9" s="78"/>
      <c r="I9" s="77"/>
      <c r="J9" s="78"/>
      <c r="K9" s="78"/>
      <c r="L9" s="78"/>
      <c r="M9" s="78"/>
    </row>
    <row r="10" spans="1:13" x14ac:dyDescent="0.45">
      <c r="A10" s="82"/>
      <c r="B10" s="123"/>
      <c r="C10" s="123"/>
      <c r="D10" s="77"/>
      <c r="E10" s="78"/>
      <c r="F10" s="78"/>
      <c r="G10" s="78"/>
      <c r="H10" s="78"/>
      <c r="I10" s="77"/>
      <c r="J10" s="78"/>
      <c r="K10" s="78"/>
      <c r="L10" s="78"/>
      <c r="M10" s="78"/>
    </row>
    <row r="11" spans="1:13" x14ac:dyDescent="0.45">
      <c r="A11" s="82"/>
      <c r="B11" s="123"/>
      <c r="C11" s="123"/>
      <c r="D11" s="77"/>
      <c r="E11" s="78"/>
      <c r="F11" s="78"/>
      <c r="G11" s="78"/>
      <c r="H11" s="78"/>
      <c r="I11" s="77"/>
      <c r="J11" s="78"/>
      <c r="K11" s="78"/>
      <c r="L11" s="78"/>
      <c r="M11" s="78"/>
    </row>
    <row r="12" spans="1:13" x14ac:dyDescent="0.45">
      <c r="A12" s="77"/>
      <c r="B12" s="77"/>
      <c r="C12" s="77"/>
      <c r="D12" s="77"/>
      <c r="E12" s="78"/>
      <c r="F12" s="78"/>
      <c r="G12" s="78"/>
      <c r="H12" s="78"/>
      <c r="I12" s="77"/>
      <c r="J12" s="78"/>
      <c r="K12" s="78"/>
      <c r="L12" s="78"/>
      <c r="M12" s="78"/>
    </row>
  </sheetData>
  <mergeCells count="2">
    <mergeCell ref="A1:C1"/>
    <mergeCell ref="E1:H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30" zoomScaleNormal="130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8.59765625" bestFit="1" customWidth="1"/>
  </cols>
  <sheetData>
    <row r="1" spans="1:8" x14ac:dyDescent="0.45">
      <c r="A1" s="22" t="s">
        <v>240</v>
      </c>
      <c r="B1" s="84" t="s">
        <v>241</v>
      </c>
      <c r="C1" s="84" t="s">
        <v>242</v>
      </c>
      <c r="D1" s="84" t="s">
        <v>243</v>
      </c>
      <c r="E1" s="84" t="s">
        <v>244</v>
      </c>
      <c r="F1" s="85" t="s">
        <v>245</v>
      </c>
      <c r="H1" s="87" t="s">
        <v>304</v>
      </c>
    </row>
    <row r="2" spans="1:8" ht="14.65" thickBot="1" x14ac:dyDescent="0.5">
      <c r="A2" s="83"/>
      <c r="B2" s="62"/>
      <c r="C2" s="121"/>
      <c r="D2" s="121"/>
      <c r="E2" s="121"/>
      <c r="F2" s="122"/>
      <c r="H2" s="86"/>
    </row>
    <row r="3" spans="1:8" ht="14.65" thickBot="1" x14ac:dyDescent="0.5">
      <c r="A3" s="58"/>
      <c r="B3" s="62"/>
      <c r="C3" s="68"/>
      <c r="D3" s="121"/>
      <c r="E3" s="121"/>
      <c r="F3" s="122"/>
    </row>
    <row r="4" spans="1:8" x14ac:dyDescent="0.45">
      <c r="A4" s="58"/>
      <c r="B4" s="62"/>
      <c r="C4" s="68"/>
      <c r="D4" s="68"/>
      <c r="E4" s="68"/>
      <c r="F4" s="119"/>
      <c r="H4" s="116" t="s">
        <v>303</v>
      </c>
    </row>
    <row r="5" spans="1:8" ht="14.65" thickBot="1" x14ac:dyDescent="0.5">
      <c r="A5" s="58"/>
      <c r="B5" s="62"/>
      <c r="C5" s="68"/>
      <c r="D5" s="68"/>
      <c r="E5" s="68"/>
      <c r="F5" s="119"/>
      <c r="H5" s="117"/>
    </row>
    <row r="6" spans="1:8" x14ac:dyDescent="0.45">
      <c r="A6" s="58"/>
      <c r="B6" s="62"/>
      <c r="C6" s="68"/>
      <c r="D6" s="68"/>
      <c r="E6" s="68"/>
      <c r="F6" s="119"/>
    </row>
    <row r="7" spans="1:8" x14ac:dyDescent="0.45">
      <c r="A7" s="58"/>
      <c r="B7" s="62"/>
      <c r="C7" s="68"/>
      <c r="D7" s="68"/>
      <c r="E7" s="68"/>
      <c r="F7" s="119"/>
    </row>
    <row r="8" spans="1:8" x14ac:dyDescent="0.45">
      <c r="A8" s="58"/>
      <c r="B8" s="62"/>
      <c r="C8" s="68"/>
      <c r="D8" s="68"/>
      <c r="E8" s="68"/>
      <c r="F8" s="119"/>
    </row>
    <row r="9" spans="1:8" x14ac:dyDescent="0.45">
      <c r="A9" s="58"/>
      <c r="B9" s="62"/>
      <c r="C9" s="68"/>
      <c r="D9" s="68"/>
      <c r="E9" s="68"/>
      <c r="F9" s="119"/>
    </row>
    <row r="10" spans="1:8" ht="14.65" thickBot="1" x14ac:dyDescent="0.5">
      <c r="A10" s="12"/>
      <c r="B10" s="118"/>
      <c r="C10" s="13"/>
      <c r="D10" s="13"/>
      <c r="E10" s="13"/>
      <c r="F10" s="1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47</vt:i4>
      </vt:variant>
      <vt:variant>
        <vt:lpstr>Named Ranges</vt:lpstr>
      </vt:variant>
      <vt:variant>
        <vt:i4>2</vt:i4>
      </vt:variant>
    </vt:vector>
  </HeadingPairs>
  <TitlesOfParts>
    <vt:vector size="49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Confusion Matrix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2026-10-29T06:01:20Z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