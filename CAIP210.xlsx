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All\CAIP2.0\"/>
    </mc:Choice>
  </mc:AlternateContent>
  <xr:revisionPtr revIDLastSave="0" documentId="13_ncr:1_{0439A0A1-F57B-4103-B182-448AC8EDF3F9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Problem" sheetId="43" r:id="rId37"/>
    <sheet name="Linear Regression Shortcomings" sheetId="44" r:id="rId38"/>
    <sheet name="ARIMA" sheetId="49" r:id="rId39"/>
    <sheet name="k-Nearest Neighbor" sheetId="45" r:id="rId40"/>
    <sheet name="Grid Search" sheetId="46" r:id="rId41"/>
    <sheet name="Randomized Search" sheetId="47" r:id="rId42"/>
    <sheet name="K-means Clustering" sheetId="48" r:id="rId43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6" l="1" a="1"/>
  <c r="E3" i="46"/>
  <c r="E8" i="46" a="1"/>
  <c r="E8" i="46" s="1"/>
  <c r="E9" i="46" a="1"/>
  <c r="E9" i="46"/>
  <c r="C17" i="45" a="1"/>
  <c r="C17" i="45" s="1"/>
  <c r="B1" i="43" a="1"/>
  <c r="B1" i="43" s="1"/>
  <c r="C3" i="43" a="1"/>
  <c r="C3" i="43" s="1"/>
  <c r="D3" i="43" s="1"/>
  <c r="E3" i="43" s="1"/>
  <c r="C4" i="43" a="1"/>
  <c r="C4" i="43" s="1"/>
  <c r="D4" i="43" s="1"/>
  <c r="E4" i="43" s="1"/>
  <c r="C5" i="43" a="1"/>
  <c r="C5" i="43" s="1"/>
  <c r="D5" i="43" s="1"/>
  <c r="E5" i="43" s="1"/>
  <c r="C6" i="43" a="1"/>
  <c r="C6" i="43" s="1"/>
  <c r="D6" i="43" s="1"/>
  <c r="E6" i="43" s="1"/>
  <c r="C7" i="43" a="1"/>
  <c r="C7" i="43" s="1"/>
  <c r="D7" i="43" s="1"/>
  <c r="E7" i="43" s="1"/>
  <c r="A3" i="40"/>
  <c r="B3" i="40"/>
  <c r="A15" i="37" a="1"/>
  <c r="A15" i="37" s="1"/>
  <c r="G15" i="37" a="1"/>
  <c r="G15" i="37" s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H2" i="25"/>
  <c r="G2" i="25"/>
  <c r="B6" i="25" a="1"/>
  <c r="B8" i="25" a="1"/>
  <c r="B5" i="25" a="1"/>
  <c r="B9" i="25" a="1"/>
  <c r="B4" i="25" a="1"/>
  <c r="B3" i="25" a="1"/>
  <c r="B2" i="25" a="1"/>
  <c r="B7" i="25" a="1"/>
  <c r="B10" i="25" a="1"/>
  <c r="I2" i="47" l="1" a="1"/>
  <c r="I2" i="47" s="1"/>
  <c r="E1" i="43"/>
  <c r="E6" i="37"/>
  <c r="E7" i="37"/>
  <c r="E8" i="37"/>
  <c r="E9" i="37"/>
  <c r="E11" i="37"/>
  <c r="E2" i="37"/>
  <c r="E3" i="37"/>
  <c r="E4" i="37"/>
  <c r="I2" i="25"/>
  <c r="B5" i="25"/>
  <c r="B4" i="25"/>
  <c r="B3" i="25"/>
  <c r="B2" i="25"/>
  <c r="B10" i="25"/>
  <c r="B9" i="25"/>
  <c r="B8" i="25"/>
  <c r="B7" i="25"/>
  <c r="B6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<sst xmlns="http://schemas.openxmlformats.org/spreadsheetml/2006/main" count="416" uniqueCount="250">
  <si>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</si>
  <si>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</si>
  <si>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</si>
  <si>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</si>
  <si>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</si>
  <si>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</si>
  <si>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</si>
  <si>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</si>
  <si>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</si>
  <si>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</si>
  <si>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</si>
  <si>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</si>
  <si>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</si>
  <si>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</si>
  <si>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</si>
  <si>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</si>
  <si>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</si>
  <si>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</si>
  <si>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</si>
  <si>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</si>
  <si>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</si>
  <si>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</si>
  <si>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</si>
  <si>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</si>
  <si>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</si>
  <si>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</si>
  <si>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</si>
  <si>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</si>
  <si>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</si>
  <si>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</si>
  <si>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</si>
  <si>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</si>
  <si>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</si>
  <si>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</si>
  <si>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</si>
  <si>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</si>
  <si>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</si>
  <si>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</si>
  <si>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</si>
  <si>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</si>
  <si>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</si>
  <si>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</si>
  <si>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</si>
  <si>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</si>
  <si>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</si>
  <si>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</si>
  <si>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</si>
  <si>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</si>
  <si>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</si>
  <si>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</si>
  <si>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</si>
  <si>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</si>
  <si>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</si>
  <si>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</si>
  <si>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</si>
  <si>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</si>
  <si>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</si>
  <si>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</si>
  <si>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</si>
  <si>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</si>
  <si>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</si>
  <si>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</si>
  <si>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</si>
  <si>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</si>
  <si>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</si>
  <si>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</si>
  <si>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</si>
  <si>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</si>
  <si>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</si>
  <si>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</si>
  <si>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</si>
  <si>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</si>
  <si>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</si>
  <si>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</si>
  <si>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</si>
  <si>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</si>
  <si>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</si>
  <si>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</si>
  <si>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</si>
  <si>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</si>
  <si>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</si>
  <si>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</si>
  <si>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</si>
  <si>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</si>
  <si>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</si>
  <si>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</si>
  <si>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</si>
  <si>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</si>
  <si>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</si>
  <si>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</si>
  <si>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</si>
  <si>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</si>
  <si>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</si>
  <si>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</si>
  <si>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</si>
  <si>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</si>
  <si>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</si>
  <si>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</si>
  <si>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</si>
  <si>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</si>
  <si>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</si>
  <si>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</si>
  <si>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</si>
  <si>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</si>
  <si>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</si>
  <si>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</si>
  <si>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</si>
  <si>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</si>
  <si>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</si>
  <si>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</si>
  <si>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</si>
  <si>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</si>
  <si>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</si>
  <si>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</si>
  <si>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</si>
  <si>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</si>
  <si>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</si>
  <si>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</si>
  <si>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</si>
  <si>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</si>
  <si>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</si>
  <si>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</si>
  <si>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</si>
  <si>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</si>
  <si>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</si>
  <si>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</si>
  <si>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</si>
  <si>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</si>
  <si>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</si>
  <si>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</si>
  <si>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</si>
  <si>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</si>
  <si>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</si>
  <si>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</si>
  <si>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</si>
  <si>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</si>
  <si>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</si>
  <si>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</si>
  <si>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</si>
  <si>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</si>
  <si>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</si>
  <si>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</si>
  <si>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</si>
  <si>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</si>
  <si>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</si>
  <si>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</si>
  <si>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</si>
  <si>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</si>
  <si>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</si>
  <si>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</si>
  <si>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</si>
  <si>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</si>
  <si>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</si>
  <si>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</si>
  <si>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</si>
  <si>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</si>
  <si>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</si>
  <si>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</si>
  <si>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</si>
  <si>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</si>
  <si>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</si>
  <si>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</si>
  <si>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</si>
  <si>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</si>
  <si>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</si>
  <si>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</si>
  <si>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</si>
  <si>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</si>
  <si>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</si>
  <si>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</si>
  <si>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</si>
  <si>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</si>
  <si>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</si>
  <si>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</si>
  <si>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</si>
  <si>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</si>
  <si>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</si>
  <si>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</si>
  <si>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</si>
  <si>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</si>
  <si>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</si>
  <si>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</si>
  <si>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</si>
  <si>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</si>
  <si>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</si>
  <si>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</si>
  <si>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</si>
  <si>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</si>
  <si>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</si>
  <si>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</si>
  <si>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</si>
  <si>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</si>
  <si>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</si>
  <si>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</si>
  <si>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</si>
  <si>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</si>
  <si>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</si>
  <si>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</si>
  <si>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</si>
  <si>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</si>
  <si>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</si>
  <si>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</si>
  <si>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</si>
  <si>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</si>
  <si>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</si>
  <si>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</si>
  <si>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</si>
  <si>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</si>
  <si>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</si>
  <si>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</si>
  <si>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</si>
  <si>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</si>
  <si>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</si>
  <si>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</si>
  <si>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</si>
  <si>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</si>
  <si>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</si>
  <si>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</si>
  <si>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</si>
  <si>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</si>
  <si>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</si>
  <si>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</si>
  <si>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</si>
  <si>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</si>
  <si>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</si>
  <si>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</si>
  <si>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</si>
  <si>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</si>
  <si>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</si>
  <si>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</si>
  <si>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</si>
  <si>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</si>
  <si>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</si>
  <si>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</si>
  <si>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</si>
  <si>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</si>
  <si>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</si>
  <si>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</si>
  <si>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</si>
  <si>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</si>
  <si>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</si>
  <si>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</si>
  <si>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</si>
  <si>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</si>
  <si>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</si>
  <si>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</si>
  <si>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φ (AR Coefficient)</t>
  </si>
  <si>
    <t>Next Day Forecasted Passengers</t>
  </si>
  <si>
    <t>Next ΔPassengers (Predicted)</t>
  </si>
  <si>
    <t>Ad Spent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</si>
</sst>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3" fontId="4" fillId="0" borderId="0" applyFont="0" applyFill="0" applyBorder="0" applyAlignment="0" applyProtection="0"/>
  </cellStyleXfs>
  <cellXfs count="120">
    <xf numFmtId="0" fontId="0" fillId="0" borderId="0" xfId="0"/>
    <xf numFmtId="164" fontId="0" fillId="0" borderId="0" xfId="0" applyNumberFormat="1"/>
    <xf numFmtId="0" fontId="1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3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2" fillId="2" borderId="3" xfId="0" applyFont="1" applyFill="1" applyBorder="1"/>
    <xf numFmtId="0" fontId="2" fillId="2" borderId="6" xfId="0" applyFont="1" applyFill="1" applyBorder="1"/>
    <xf numFmtId="0" fontId="2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2" fillId="4" borderId="0" xfId="0" applyFont="1" applyFill="1"/>
    <xf numFmtId="0" fontId="5" fillId="0" borderId="0" xfId="0" applyFont="1"/>
    <xf numFmtId="0" fontId="5" fillId="3" borderId="3" xfId="0" applyFont="1" applyFill="1" applyBorder="1"/>
    <xf numFmtId="0" fontId="5" fillId="3" borderId="9" xfId="0" applyFont="1" applyFill="1" applyBorder="1"/>
    <xf numFmtId="0" fontId="5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2" fillId="2" borderId="1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6" fillId="5" borderId="18" xfId="0" applyFont="1" applyFill="1" applyBorder="1" applyAlignment="1">
      <alignment horizontal="center"/>
    </xf>
    <xf numFmtId="0" fontId="2" fillId="2" borderId="22" xfId="0" applyFont="1" applyFill="1" applyBorder="1"/>
    <xf numFmtId="0" fontId="0" fillId="0" borderId="23" xfId="0" applyBorder="1"/>
    <xf numFmtId="0" fontId="6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2" fillId="5" borderId="23" xfId="0" applyFont="1" applyFill="1" applyBorder="1"/>
    <xf numFmtId="0" fontId="0" fillId="7" borderId="0" xfId="0" applyFill="1"/>
    <xf numFmtId="0" fontId="0" fillId="3" borderId="0" xfId="0" applyFill="1"/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6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5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5" borderId="9" xfId="0" applyFill="1" applyBorder="1"/>
    <xf numFmtId="0" fontId="0" fillId="16" borderId="10" xfId="0" applyFill="1" applyBorder="1"/>
    <xf numFmtId="0" fontId="0" fillId="17" borderId="6" xfId="0" applyFill="1" applyBorder="1"/>
    <xf numFmtId="0" fontId="0" fillId="18" borderId="8" xfId="0" applyFill="1" applyBorder="1"/>
    <xf numFmtId="0" fontId="0" fillId="0" borderId="28" xfId="0" applyBorder="1"/>
    <xf numFmtId="0" fontId="2" fillId="2" borderId="5" xfId="0" applyFont="1" applyFill="1" applyBorder="1" applyAlignment="1">
      <alignment horizontal="center" vertical="center"/>
    </xf>
    <xf numFmtId="0" fontId="2" fillId="11" borderId="3" xfId="0" applyFont="1" applyFill="1" applyBorder="1"/>
    <xf numFmtId="0" fontId="2" fillId="11" borderId="5" xfId="0" applyFont="1" applyFill="1" applyBorder="1"/>
    <xf numFmtId="0" fontId="2" fillId="9" borderId="3" xfId="0" applyFont="1" applyFill="1" applyBorder="1"/>
    <xf numFmtId="0" fontId="2" fillId="9" borderId="5" xfId="0" applyFont="1" applyFill="1" applyBorder="1"/>
    <xf numFmtId="0" fontId="5" fillId="13" borderId="3" xfId="0" applyFont="1" applyFill="1" applyBorder="1"/>
    <xf numFmtId="0" fontId="5" fillId="15" borderId="9" xfId="0" applyFont="1" applyFill="1" applyBorder="1"/>
    <xf numFmtId="0" fontId="5" fillId="17" borderId="6" xfId="0" applyFont="1" applyFill="1" applyBorder="1"/>
    <xf numFmtId="0" fontId="11" fillId="20" borderId="0" xfId="0" applyFont="1" applyFill="1" applyAlignment="1">
      <alignment vertical="center" wrapText="1"/>
    </xf>
    <xf numFmtId="0" fontId="11" fillId="0" borderId="0" xfId="0" applyFont="1" applyAlignment="1">
      <alignment vertical="center" wrapText="1"/>
    </xf>
    <xf numFmtId="0" fontId="13" fillId="22" borderId="0" xfId="0" applyFont="1" applyFill="1" applyAlignment="1">
      <alignment horizontal="center" vertical="center" wrapText="1"/>
    </xf>
    <xf numFmtId="0" fontId="14" fillId="23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24" borderId="0" xfId="0" applyFont="1" applyFill="1" applyAlignment="1">
      <alignment vertical="center" wrapText="1"/>
    </xf>
    <xf numFmtId="14" fontId="0" fillId="0" borderId="9" xfId="0" applyNumberFormat="1" applyBorder="1"/>
    <xf numFmtId="0" fontId="2" fillId="2" borderId="4" xfId="0" applyFont="1" applyFill="1" applyBorder="1"/>
    <xf numFmtId="0" fontId="2" fillId="2" borderId="5" xfId="0" applyFont="1" applyFill="1" applyBorder="1"/>
    <xf numFmtId="0" fontId="0" fillId="18" borderId="2" xfId="0" applyFill="1" applyBorder="1"/>
    <xf numFmtId="0" fontId="0" fillId="16" borderId="2" xfId="0" applyFill="1" applyBorder="1"/>
    <xf numFmtId="0" fontId="0" fillId="14" borderId="2" xfId="0" applyFill="1" applyBorder="1"/>
    <xf numFmtId="0" fontId="5" fillId="13" borderId="1" xfId="0" applyFont="1" applyFill="1" applyBorder="1"/>
    <xf numFmtId="0" fontId="5" fillId="11" borderId="1" xfId="0" applyFont="1" applyFill="1" applyBorder="1"/>
    <xf numFmtId="0" fontId="5" fillId="17" borderId="1" xfId="0" applyFont="1" applyFill="1" applyBorder="1"/>
    <xf numFmtId="0" fontId="0" fillId="5" borderId="28" xfId="0" applyFill="1" applyBorder="1"/>
    <xf numFmtId="0" fontId="0" fillId="5" borderId="10" xfId="0" applyFill="1" applyBorder="1"/>
    <xf numFmtId="0" fontId="2" fillId="2" borderId="0" xfId="0" applyFont="1" applyFill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6" fillId="6" borderId="2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5" fillId="9" borderId="28" xfId="0" applyFont="1" applyFill="1" applyBorder="1" applyAlignment="1">
      <alignment horizontal="center"/>
    </xf>
    <xf numFmtId="0" fontId="10" fillId="19" borderId="0" xfId="0" applyFont="1" applyFill="1" applyAlignment="1">
      <alignment horizontal="center" vertical="center" wrapText="1"/>
    </xf>
    <xf numFmtId="0" fontId="12" fillId="21" borderId="0" xfId="0" applyFont="1" applyFill="1" applyAlignment="1">
      <alignment horizontal="center" vertical="center" wrapText="1"/>
    </xf>
  </cellXfs>
  <cellStyles count="3">
    <cellStyle name="Comma" xfId="2" builtinId="3"/>
    <cellStyle name="Hyperlink" xfId="1" builtinId="8"/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52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1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0"/>
    <tableColumn id="3" xr3:uid="{CEDA3B08-3F76-4D48-8246-EE740CE8F229}" name="METHOD 1 | STEP 2_x000a_Convert To Absolute" dataDxfId="29"/>
    <tableColumn id="4" xr3:uid="{00D84702-7181-42EC-9BDF-EB57AEF16908}" name="METHOD 1 | STEP 3_x000a_IF Condition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27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5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4"/>
    <tableColumn id="2" xr3:uid="{8E5B1982-7732-496B-9C15-A03972E690FB}" name="Year Built"/>
    <tableColumn id="3" xr3:uid="{0AA22C16-B585-4956-A4BE-1A6E14188B16}" name="Price" dataDxfId="2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2" dataCellStyle="Comma"/>
    <tableColumn id="3" xr3:uid="{D09C0BD4-AEE0-4142-AA2D-54E7121AB57B}" name="Age_Normalized" dataDxfId="21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0" dataCellStyle="Comma"/>
    <tableColumn id="3" xr3:uid="{193F2459-0E5C-4F79-8837-7A51458F3D33}" name="Age_Standardized" dataDxfId="19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18">
      <calculatedColumnFormula array="1">IFERROR(IF(INDIRECT("H"&amp;$E$4+1)="","",LOOKUP(DiscretizationEqualWidth_Table[[#This Row],[Age]],$H$2:$H$5)),"")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17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16">
  <autoFilter ref="A1:A2" xr:uid="{FE4C4295-40D3-4687-B249-A4166C61B640}"/>
  <tableColumns count="1">
    <tableColumn id="1" xr3:uid="{D8D369E1-2943-4167-B283-606856F506BD}" name="Sentence" dataDxfId="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4">
  <autoFilter ref="A1:A2" xr:uid="{1501FCB2-E751-46BD-8C89-8DA17E72173F}"/>
  <tableColumns count="1">
    <tableColumn id="1" xr3:uid="{F246659C-152C-4FB3-90BA-43C0E1A703BA}" name="Stop Words Sentence" dataDxfId="1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2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1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0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9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8"/>
    <tableColumn id="4" xr3:uid="{18F35667-5F43-4130-8B07-951A3EC9643E}" name="ERROR_x000a_Predicted - Actual" dataDxfId="7"/>
    <tableColumn id="5" xr3:uid="{F1AF8FC2-D9FF-4202-B491-64EB563E19E8}" name="SQUARED" dataDxfId="6"/>
    <tableColumn id="6" xr3:uid="{4A985E7F-6B5C-4653-B629-49059FB05B97}" name="ABSOLUTE" dataDxfId="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4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3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2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1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0">
      <calculatedColumnFormula>0.5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1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147</v>
      </c>
    </row>
    <row r="30" spans="1:1" x14ac:dyDescent="0.45">
      <c r="A30" s="2" t="s">
        <v>150</v>
      </c>
    </row>
    <row r="31" spans="1:1" x14ac:dyDescent="0.45">
      <c r="A31" s="2" t="s">
        <v>157</v>
      </c>
    </row>
    <row r="32" spans="1:1" x14ac:dyDescent="0.45">
      <c r="A32" s="2" t="s">
        <v>163</v>
      </c>
    </row>
    <row r="33" spans="1:1" x14ac:dyDescent="0.45">
      <c r="A33" s="2" t="s">
        <v>175</v>
      </c>
    </row>
    <row r="34" spans="1:1" x14ac:dyDescent="0.45">
      <c r="A34" s="2" t="s">
        <v>192</v>
      </c>
    </row>
    <row r="35" spans="1:1" x14ac:dyDescent="0.45">
      <c r="A35" s="2" t="s">
        <v>199</v>
      </c>
    </row>
    <row r="36" spans="1:1" x14ac:dyDescent="0.45">
      <c r="A36" s="2" t="s">
        <v>202</v>
      </c>
    </row>
    <row r="37" spans="1:1" x14ac:dyDescent="0.45">
      <c r="A37" s="2" t="s">
        <v>206</v>
      </c>
    </row>
    <row r="38" spans="1:1" x14ac:dyDescent="0.45">
      <c r="A38" s="2" t="s">
        <v>223</v>
      </c>
    </row>
    <row r="39" spans="1:1" x14ac:dyDescent="0.45">
      <c r="A39" s="2" t="s">
        <v>224</v>
      </c>
    </row>
    <row r="40" spans="1:1" x14ac:dyDescent="0.45">
      <c r="A40" s="2" t="s">
        <v>229</v>
      </c>
    </row>
    <row r="41" spans="1:1" x14ac:dyDescent="0.45">
      <c r="A41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29" location="Stemming!A1" display="Stemming" xr:uid="{311391E3-697A-4ADA-8ED2-17F9717AC633}"/>
    <hyperlink ref="A30" location="'Holdout Method'!A1" display="Holdout Method" xr:uid="{A07DF3DA-9A02-48AF-B647-ECF2A93945DF}"/>
    <hyperlink ref="A31" location="'k-Fold Cross Validation'!A1" display="k-Fold Cross Validation" xr:uid="{5777516A-94CC-4C67-A815-6994C72AD3ED}"/>
    <hyperlink ref="A32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3" location="'Normal Linear Regression'!A1" display="Normal Linear Regression" xr:uid="{80912105-F9E3-43BB-9C0A-6BDD9C827109}"/>
    <hyperlink ref="A34" location="'Cost Function Linear Regression'!A1" display="Cost Function Linear Regression" xr:uid="{EF1A42E1-FDB0-4BA8-B575-23E596164B47}"/>
    <hyperlink ref="A35" location="'Linear Regression Problem'!A1" display="Linear Regression Problem" xr:uid="{FC17CB13-8E77-427D-B7D5-7759B9850B24}"/>
    <hyperlink ref="A36" location="'Linear Regression Shortcomings'!A1" display="Linear Regression Shortcomings" xr:uid="{86134CCF-C334-4F41-8DA1-6499229277B8}"/>
    <hyperlink ref="A37" location="'k-Nearest Neighbor'!A1" display="k-Nearest Neighbor" xr:uid="{36A53B93-A859-444C-A932-88C4E9F7614B}"/>
    <hyperlink ref="A38" location="'Grid Search'!A1" display="Grid Search" xr:uid="{43780F07-C04F-4480-828E-3DB0D81059CB}"/>
    <hyperlink ref="A39" location="'Randomized Search'!A1" display="Randomized Search" xr:uid="{4F0C4605-5BB3-4E71-BFD9-ED49BCD84EAB}"/>
    <hyperlink ref="A40" location="'K-means Clustering'!A1" display="K-means Clustering" xr:uid="{AEC80EE7-FC88-4AF1-9863-60A3688A4596}"/>
    <hyperlink ref="A41" location="ARIMA!A1" display="ARIMA" xr:uid="{0BD7B75E-937F-42D3-A6BB-304568387C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>
      <selection activeCell="B5" sqref="B5"/>
    </sheetView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>
      <selection activeCell="D1" sqref="D1:F1"/>
    </sheetView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96" t="s">
        <v>197</v>
      </c>
      <c r="E1" s="96"/>
      <c r="F1" s="96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97" t="s">
        <v>165</v>
      </c>
      <c r="E1" s="97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IFERROR(IF(INDIRECT("H"&amp;$E$4+1)="","",LOOKUP(DiscretizationEqualWidth_Table[[#This Row],[Age]],$H$2:$H$5)),"")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IFERROR(IF(INDIRECT("H"&amp;$E$4+1)="","",LOOKUP(DiscretizationEqualWidth_Table[[#This Row],[Age]],$H$2:$H$5)),"")</f>
        <v/>
      </c>
      <c r="D3" s="19" t="s">
        <v>98</v>
      </c>
      <c r="E3" s="20"/>
    </row>
    <row r="4" spans="1:9" x14ac:dyDescent="0.45">
      <c r="A4">
        <v>8</v>
      </c>
      <c r="B4" t="str" cm="1">
        <f t="array" aca="1" ref="B4" ca="1">IFERROR(IF(INDIRECT("H"&amp;$E$4+1)="","",LOOKUP(DiscretizationEqualWidth_Table[[#This Row],[Age]],$H$2:$H$5)),"")</f>
        <v/>
      </c>
      <c r="D4" s="19" t="s">
        <v>99</v>
      </c>
      <c r="E4" s="20"/>
    </row>
    <row r="5" spans="1:9" ht="14.65" thickBot="1" x14ac:dyDescent="0.5">
      <c r="A5">
        <v>15</v>
      </c>
      <c r="B5" t="str" cm="1">
        <f t="array" aca="1" ref="B5" ca="1">IFERROR(IF(INDIRECT("H"&amp;$E$4+1)="","",LOOKUP(DiscretizationEqualWidth_Table[[#This Row],[Age]],$H$2:$H$5)),"")</f>
        <v/>
      </c>
      <c r="D5" s="21" t="s">
        <v>100</v>
      </c>
      <c r="E5" s="14"/>
    </row>
    <row r="6" spans="1:9" x14ac:dyDescent="0.45">
      <c r="A6">
        <v>18</v>
      </c>
      <c r="B6" t="str" cm="1">
        <f t="array" aca="1" ref="B6" ca="1">IFERROR(IF(INDIRECT("H"&amp;$E$4+1)="","",LOOKUP(DiscretizationEqualWidth_Table[[#This Row],[Age]],$H$2:$H$5)),"")</f>
        <v/>
      </c>
    </row>
    <row r="7" spans="1:9" x14ac:dyDescent="0.45">
      <c r="A7">
        <v>22</v>
      </c>
      <c r="B7" t="str" cm="1">
        <f t="array" aca="1" ref="B7" ca="1">IFERROR(IF(INDIRECT("H"&amp;$E$4+1)="","",LOOKUP(DiscretizationEqualWidth_Table[[#This Row],[Age]],$H$2:$H$5)),"")</f>
        <v/>
      </c>
    </row>
    <row r="8" spans="1:9" x14ac:dyDescent="0.45">
      <c r="A8">
        <v>30</v>
      </c>
      <c r="B8" t="str" cm="1">
        <f t="array" aca="1" ref="B8" ca="1">IFERROR(IF(INDIRECT("H"&amp;$E$4+1)="","",LOOKUP(DiscretizationEqualWidth_Table[[#This Row],[Age]],$H$2:$H$5)),"")</f>
        <v/>
      </c>
    </row>
    <row r="9" spans="1:9" x14ac:dyDescent="0.45">
      <c r="A9">
        <v>60</v>
      </c>
      <c r="B9" t="str" cm="1">
        <f t="array" aca="1" ref="B9" ca="1">IFERROR(IF(INDIRECT("H"&amp;$E$4+1)="","",LOOKUP(DiscretizationEqualWidth_Table[[#This Row],[Age]],$H$2:$H$5)),"")</f>
        <v/>
      </c>
    </row>
    <row r="10" spans="1:9" x14ac:dyDescent="0.45">
      <c r="A10">
        <v>75</v>
      </c>
      <c r="B10" t="str" cm="1">
        <f t="array" aca="1" ref="B10" ca="1">IFERROR(IF(INDIRECT("H"&amp;$E$4+1)="","",LOOKUP(DiscretizationEqualWidth_Table[[#This Row],[Age]],$H$2:$H$5)),"")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01" t="s">
        <v>159</v>
      </c>
      <c r="H1" s="102"/>
      <c r="I1" s="102"/>
      <c r="J1" s="102"/>
      <c r="K1" s="103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04"/>
      <c r="H2" s="105"/>
      <c r="I2" s="105"/>
      <c r="J2" s="105"/>
      <c r="K2" s="106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07" t="s">
        <v>160</v>
      </c>
      <c r="H4" s="108"/>
      <c r="I4" s="108"/>
      <c r="J4" s="108"/>
      <c r="K4" s="109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98"/>
      <c r="H5" s="99"/>
      <c r="I5" s="99"/>
      <c r="J5" s="99"/>
      <c r="K5" s="100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96" t="s">
        <v>161</v>
      </c>
      <c r="B13" s="96"/>
      <c r="C13" s="96"/>
      <c r="D13" s="96"/>
      <c r="E13" s="96"/>
      <c r="G13" s="96" t="s">
        <v>162</v>
      </c>
      <c r="H13" s="96"/>
      <c r="I13" s="96"/>
      <c r="J13" s="96"/>
      <c r="K13" s="96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>
      <selection activeCell="G20" sqref="G20"/>
    </sheetView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01" t="s">
        <v>159</v>
      </c>
      <c r="H1" s="102"/>
      <c r="I1" s="102"/>
      <c r="J1" s="102"/>
      <c r="K1" s="103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04">
        <f>COUNT(LeavePOutCrossValidation_Table[StudentID])</f>
        <v>10</v>
      </c>
      <c r="H2" s="105"/>
      <c r="I2" s="105"/>
      <c r="J2" s="105"/>
      <c r="K2" s="106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07" t="s">
        <v>164</v>
      </c>
      <c r="H4" s="108"/>
      <c r="I4" s="108"/>
      <c r="J4" s="108"/>
      <c r="K4" s="109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98"/>
      <c r="H5" s="99"/>
      <c r="I5" s="99"/>
      <c r="J5" s="99"/>
      <c r="K5" s="100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96" t="s">
        <v>161</v>
      </c>
      <c r="B13" s="96"/>
      <c r="C13" s="96"/>
      <c r="D13" s="96"/>
      <c r="E13" s="96"/>
      <c r="G13" s="96" t="s">
        <v>162</v>
      </c>
      <c r="H13" s="96"/>
      <c r="I13" s="96"/>
      <c r="J13" s="96"/>
      <c r="K13" s="96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e" cm="1" vm="1">
        <f t="array" ref="G15">_xlfn._xlws.FILTER(
    LeavePOutCrossValidation_Table[],
    ISNUMBER(MATCH(LeavePOutCrossValidation_Table[Fold Number],G8:K8,0))
)</f>
        <v>#VALUE!</v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10" t="s">
        <v>181</v>
      </c>
      <c r="E1" s="110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15" t="s">
        <v>181</v>
      </c>
      <c r="B1" s="116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11" t="s">
        <v>193</v>
      </c>
      <c r="D2" s="112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13"/>
      <c r="D3" s="114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15" zoomScaleNormal="115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7.6640625" bestFit="1" customWidth="1"/>
  </cols>
  <sheetData>
    <row r="1" spans="1:8" x14ac:dyDescent="0.45">
      <c r="A1" s="22" t="s">
        <v>240</v>
      </c>
      <c r="B1" s="86" t="s">
        <v>241</v>
      </c>
      <c r="C1" s="86" t="s">
        <v>242</v>
      </c>
      <c r="D1" s="86" t="s">
        <v>243</v>
      </c>
      <c r="E1" s="86" t="s">
        <v>244</v>
      </c>
      <c r="F1" s="87" t="s">
        <v>245</v>
      </c>
      <c r="H1" s="93" t="s">
        <v>246</v>
      </c>
    </row>
    <row r="2" spans="1:8" ht="14.65" thickBot="1" x14ac:dyDescent="0.5">
      <c r="A2" s="85"/>
      <c r="B2" s="70"/>
      <c r="C2" s="94"/>
      <c r="D2" s="94"/>
      <c r="E2" s="94"/>
      <c r="F2" s="95"/>
      <c r="H2" s="88"/>
    </row>
    <row r="3" spans="1:8" ht="14.65" thickBot="1" x14ac:dyDescent="0.5">
      <c r="A3" s="58"/>
      <c r="B3" s="70"/>
      <c r="C3" s="70"/>
      <c r="D3" s="94"/>
      <c r="E3" s="94"/>
      <c r="F3" s="95"/>
    </row>
    <row r="4" spans="1:8" x14ac:dyDescent="0.45">
      <c r="A4" s="58"/>
      <c r="B4" s="70"/>
      <c r="C4" s="70"/>
      <c r="D4" s="70"/>
      <c r="E4" s="70"/>
      <c r="F4" s="20"/>
      <c r="H4" s="92" t="s">
        <v>248</v>
      </c>
    </row>
    <row r="5" spans="1:8" ht="14.65" thickBot="1" x14ac:dyDescent="0.5">
      <c r="A5" s="58"/>
      <c r="B5" s="70"/>
      <c r="C5" s="70"/>
      <c r="D5" s="70"/>
      <c r="E5" s="70"/>
      <c r="F5" s="20"/>
      <c r="H5" s="89"/>
    </row>
    <row r="6" spans="1:8" ht="14.65" thickBot="1" x14ac:dyDescent="0.5">
      <c r="A6" s="58"/>
      <c r="B6" s="70"/>
      <c r="C6" s="70"/>
      <c r="D6" s="70"/>
      <c r="E6" s="70"/>
      <c r="F6" s="20"/>
    </row>
    <row r="7" spans="1:8" x14ac:dyDescent="0.45">
      <c r="A7" s="58"/>
      <c r="B7" s="70"/>
      <c r="C7" s="70"/>
      <c r="D7" s="70"/>
      <c r="E7" s="70"/>
      <c r="F7" s="20"/>
      <c r="H7" s="91" t="s">
        <v>247</v>
      </c>
    </row>
    <row r="8" spans="1:8" ht="14.65" thickBot="1" x14ac:dyDescent="0.5">
      <c r="A8" s="58"/>
      <c r="B8" s="70"/>
      <c r="C8" s="70"/>
      <c r="D8" s="70"/>
      <c r="E8" s="70"/>
      <c r="F8" s="20"/>
      <c r="H8" s="90"/>
    </row>
    <row r="9" spans="1:8" x14ac:dyDescent="0.45">
      <c r="A9" s="58"/>
      <c r="B9" s="70"/>
      <c r="C9" s="70"/>
      <c r="D9" s="70"/>
      <c r="E9" s="70"/>
      <c r="F9" s="20"/>
    </row>
    <row r="10" spans="1:8" ht="14.65" thickBot="1" x14ac:dyDescent="0.5">
      <c r="A10" s="12"/>
      <c r="B10" s="13"/>
      <c r="C10" s="13"/>
      <c r="D10" s="13"/>
      <c r="E10" s="13"/>
      <c r="F10" s="14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249</v>
      </c>
      <c r="B1" s="56" t="s">
        <v>70</v>
      </c>
      <c r="E1" s="117" t="s">
        <v>218</v>
      </c>
      <c r="F1" s="117"/>
      <c r="G1" s="117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66" t="s">
        <v>221</v>
      </c>
      <c r="E8" s="67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68" t="s">
        <v>222</v>
      </c>
      <c r="E9" s="69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71" t="s">
        <v>70</v>
      </c>
      <c r="D1" s="74" t="s">
        <v>227</v>
      </c>
      <c r="E1" s="75" t="s">
        <v>228</v>
      </c>
      <c r="G1" s="8" t="s">
        <v>218</v>
      </c>
      <c r="H1" s="9" t="s">
        <v>219</v>
      </c>
      <c r="I1" s="71" t="s">
        <v>187</v>
      </c>
    </row>
    <row r="2" spans="1:9" ht="14.65" thickBot="1" x14ac:dyDescent="0.5">
      <c r="A2" s="58"/>
      <c r="B2" s="20"/>
      <c r="D2" s="12"/>
      <c r="E2" s="14"/>
      <c r="G2" s="58"/>
      <c r="H2" s="70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70"/>
      <c r="I3" s="20"/>
    </row>
    <row r="4" spans="1:9" x14ac:dyDescent="0.45">
      <c r="A4" s="58"/>
      <c r="B4" s="20"/>
      <c r="D4" s="72" t="s">
        <v>225</v>
      </c>
      <c r="E4" s="73" t="s">
        <v>226</v>
      </c>
      <c r="G4" s="58"/>
      <c r="H4" s="70"/>
      <c r="I4" s="20"/>
    </row>
    <row r="5" spans="1:9" ht="14.65" thickBot="1" x14ac:dyDescent="0.5">
      <c r="A5" s="12"/>
      <c r="B5" s="14"/>
      <c r="D5" s="12"/>
      <c r="E5" s="14"/>
      <c r="G5" s="58"/>
      <c r="H5" s="70"/>
      <c r="I5" s="20"/>
    </row>
    <row r="6" spans="1:9" x14ac:dyDescent="0.45">
      <c r="G6" s="58"/>
      <c r="H6" s="70"/>
      <c r="I6" s="20"/>
    </row>
    <row r="7" spans="1:9" ht="14.65" thickBot="1" x14ac:dyDescent="0.5">
      <c r="G7" s="58"/>
      <c r="H7" s="70"/>
      <c r="I7" s="20"/>
    </row>
    <row r="8" spans="1:9" x14ac:dyDescent="0.45">
      <c r="D8" s="76" t="s">
        <v>220</v>
      </c>
      <c r="E8" s="65"/>
      <c r="G8" s="58"/>
      <c r="H8" s="70"/>
      <c r="I8" s="20"/>
    </row>
    <row r="9" spans="1:9" x14ac:dyDescent="0.45">
      <c r="D9" s="77" t="s">
        <v>221</v>
      </c>
      <c r="E9" s="67"/>
      <c r="G9" s="58"/>
      <c r="H9" s="70"/>
      <c r="I9" s="20"/>
    </row>
    <row r="10" spans="1:9" ht="14.65" thickBot="1" x14ac:dyDescent="0.5">
      <c r="D10" s="78" t="s">
        <v>222</v>
      </c>
      <c r="E10" s="69"/>
      <c r="G10" s="12"/>
      <c r="H10" s="13"/>
      <c r="I10" s="14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0" max="13" width="10.73046875" bestFit="1" customWidth="1"/>
  </cols>
  <sheetData>
    <row r="1" spans="1:13" x14ac:dyDescent="0.45">
      <c r="A1" s="118" t="s">
        <v>230</v>
      </c>
      <c r="B1" s="118"/>
      <c r="C1" s="118"/>
      <c r="D1" s="79"/>
      <c r="E1" s="119" t="s">
        <v>231</v>
      </c>
      <c r="F1" s="119"/>
      <c r="G1" s="119"/>
      <c r="H1" s="119"/>
      <c r="I1" s="79"/>
      <c r="J1" s="80"/>
      <c r="K1" s="80"/>
      <c r="L1" s="80"/>
      <c r="M1" s="80"/>
    </row>
    <row r="2" spans="1:13" ht="26.25" x14ac:dyDescent="0.45">
      <c r="A2" s="81" t="s">
        <v>232</v>
      </c>
      <c r="B2" s="81" t="s">
        <v>233</v>
      </c>
      <c r="C2" s="81" t="s">
        <v>234</v>
      </c>
      <c r="D2" s="79"/>
      <c r="E2" s="81" t="s">
        <v>232</v>
      </c>
      <c r="F2" s="81"/>
      <c r="G2" s="81"/>
      <c r="H2" s="81"/>
      <c r="I2" s="79"/>
      <c r="J2" s="81" t="s">
        <v>235</v>
      </c>
      <c r="K2" s="81" t="s">
        <v>236</v>
      </c>
      <c r="L2" s="81" t="s">
        <v>237</v>
      </c>
      <c r="M2" s="81" t="s">
        <v>238</v>
      </c>
    </row>
    <row r="3" spans="1:13" x14ac:dyDescent="0.45">
      <c r="A3" s="82">
        <v>1</v>
      </c>
      <c r="B3" s="83">
        <v>4.9000000000000004</v>
      </c>
      <c r="C3" s="83">
        <v>3</v>
      </c>
      <c r="D3" s="79"/>
      <c r="E3" s="82">
        <v>1</v>
      </c>
      <c r="F3" s="80"/>
      <c r="G3" s="80"/>
      <c r="H3" s="80"/>
      <c r="I3" s="79"/>
      <c r="J3" s="80"/>
      <c r="K3" s="80"/>
      <c r="L3" s="80"/>
      <c r="M3" s="80"/>
    </row>
    <row r="4" spans="1:13" x14ac:dyDescent="0.45">
      <c r="A4" s="82">
        <v>2</v>
      </c>
      <c r="B4" s="83">
        <v>5.0999999999999996</v>
      </c>
      <c r="C4" s="83">
        <v>3.5</v>
      </c>
      <c r="D4" s="79"/>
      <c r="E4" s="82">
        <v>2</v>
      </c>
      <c r="F4" s="80"/>
      <c r="G4" s="80"/>
      <c r="H4" s="80"/>
      <c r="I4" s="79"/>
      <c r="J4" s="80"/>
      <c r="K4" s="80"/>
      <c r="L4" s="80"/>
      <c r="M4" s="80"/>
    </row>
    <row r="5" spans="1:13" x14ac:dyDescent="0.45">
      <c r="A5" s="82">
        <v>3</v>
      </c>
      <c r="B5" s="83">
        <v>7</v>
      </c>
      <c r="C5" s="83">
        <v>3.2</v>
      </c>
      <c r="D5" s="79"/>
      <c r="E5" s="82">
        <v>3</v>
      </c>
      <c r="F5" s="80"/>
      <c r="G5" s="80"/>
      <c r="H5" s="80"/>
      <c r="I5" s="79"/>
      <c r="J5" s="80"/>
      <c r="K5" s="80"/>
      <c r="L5" s="80"/>
      <c r="M5" s="80"/>
    </row>
    <row r="6" spans="1:13" x14ac:dyDescent="0.45">
      <c r="A6" s="82">
        <v>4</v>
      </c>
      <c r="B6" s="83">
        <v>6.4</v>
      </c>
      <c r="C6" s="83">
        <v>3.2</v>
      </c>
      <c r="D6" s="79"/>
      <c r="E6" s="82">
        <v>4</v>
      </c>
      <c r="F6" s="80"/>
      <c r="G6" s="80"/>
      <c r="H6" s="80"/>
      <c r="I6" s="79"/>
      <c r="J6" s="80"/>
      <c r="K6" s="80"/>
      <c r="L6" s="80"/>
      <c r="M6" s="80"/>
    </row>
    <row r="7" spans="1:13" x14ac:dyDescent="0.45">
      <c r="A7" s="82">
        <v>5</v>
      </c>
      <c r="B7" s="83">
        <v>6.3</v>
      </c>
      <c r="C7" s="83">
        <v>3.3</v>
      </c>
      <c r="D7" s="79"/>
      <c r="E7" s="82">
        <v>5</v>
      </c>
      <c r="F7" s="80"/>
      <c r="G7" s="80"/>
      <c r="H7" s="80"/>
      <c r="I7" s="79"/>
      <c r="J7" s="80"/>
      <c r="K7" s="80"/>
      <c r="L7" s="80"/>
      <c r="M7" s="80"/>
    </row>
    <row r="8" spans="1:13" x14ac:dyDescent="0.45">
      <c r="A8" s="82">
        <v>6</v>
      </c>
      <c r="B8" s="83">
        <v>5.8</v>
      </c>
      <c r="C8" s="83">
        <v>2.7</v>
      </c>
      <c r="D8" s="79"/>
      <c r="E8" s="82">
        <v>6</v>
      </c>
      <c r="F8" s="80"/>
      <c r="G8" s="80"/>
      <c r="H8" s="80"/>
      <c r="I8" s="79"/>
      <c r="J8" s="80"/>
      <c r="K8" s="80"/>
      <c r="L8" s="80"/>
      <c r="M8" s="80"/>
    </row>
    <row r="9" spans="1:13" x14ac:dyDescent="0.45">
      <c r="A9" s="79"/>
      <c r="B9" s="79"/>
      <c r="C9" s="79"/>
      <c r="D9" s="79"/>
      <c r="E9" s="80"/>
      <c r="F9" s="80"/>
      <c r="G9" s="80"/>
      <c r="H9" s="80"/>
      <c r="I9" s="79"/>
      <c r="J9" s="80"/>
      <c r="K9" s="80"/>
      <c r="L9" s="80"/>
      <c r="M9" s="80"/>
    </row>
    <row r="10" spans="1:13" x14ac:dyDescent="0.45">
      <c r="A10" s="84"/>
      <c r="B10" s="80"/>
      <c r="C10" s="80"/>
      <c r="D10" s="79"/>
      <c r="E10" s="80"/>
      <c r="F10" s="80"/>
      <c r="G10" s="80"/>
      <c r="H10" s="80"/>
      <c r="I10" s="79"/>
      <c r="J10" s="80"/>
      <c r="K10" s="80"/>
      <c r="L10" s="80"/>
      <c r="M10" s="80"/>
    </row>
    <row r="11" spans="1:13" x14ac:dyDescent="0.45">
      <c r="A11" s="84"/>
      <c r="B11" s="80"/>
      <c r="C11" s="80"/>
      <c r="D11" s="79"/>
      <c r="E11" s="80"/>
      <c r="F11" s="80"/>
      <c r="G11" s="80"/>
      <c r="H11" s="80"/>
      <c r="I11" s="79"/>
      <c r="J11" s="80"/>
      <c r="K11" s="80"/>
      <c r="L11" s="80"/>
      <c r="M11" s="80"/>
    </row>
    <row r="12" spans="1:13" x14ac:dyDescent="0.45">
      <c r="A12" s="79"/>
      <c r="B12" s="79"/>
      <c r="C12" s="79"/>
      <c r="D12" s="79"/>
      <c r="E12" s="80"/>
      <c r="F12" s="80"/>
      <c r="G12" s="80"/>
      <c r="H12" s="80"/>
      <c r="I12" s="79"/>
      <c r="J12" s="80"/>
      <c r="K12" s="80"/>
      <c r="L12" s="80"/>
      <c r="M12" s="80"/>
    </row>
  </sheetData>
  <mergeCells count="2">
    <mergeCell ref="A1:C1"/>
    <mergeCell ref="E1:H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43</vt:i4>
      </vt:variant>
      <vt:variant>
        <vt:lpstr>Named Ranges</vt:lpstr>
      </vt:variant>
      <vt:variant>
        <vt:i4>2</vt:i4>
      </vt:variant>
    </vt:vector>
  </HeadingPairs>
  <TitlesOfParts>
    <vt:vector size="45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Problem</vt:lpstr>
      <vt:lpstr>Linear Regression Shortcomings</vt:lpstr>
      <vt:lpstr>ARIMA</vt:lpstr>
      <vt:lpstr>k-Nearest Neighbor</vt:lpstr>
      <vt:lpstr>Grid Search</vt:lpstr>
      <vt:lpstr>Randomized Search</vt:lpstr>
      <vt:lpstr>K-means Clustering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Mohammad El Medawar</cp:lastModifiedBy>
  <dcterms:created xsi:type="dcterms:W3CDTF">2015-06-05T18:17:20Z</dcterms:created>
  <dcterms:modified xsi:type="dcterms:W3CDTF">2025-09-17T16:17:49Z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